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83C5E6B9-EC38-4EDE-A51D-41E8382C1039}" xr6:coauthVersionLast="47" xr6:coauthVersionMax="47" xr10:uidLastSave="{00000000-0000-0000-0000-000000000000}"/>
  <bookViews>
    <workbookView xWindow="-28920" yWindow="-1290" windowWidth="29040" windowHeight="15720" xr2:uid="{00000000-000D-0000-FFFF-FFFF00000000}"/>
  </bookViews>
  <sheets>
    <sheet name="RACAO 2" sheetId="10" r:id="rId1"/>
    <sheet name="BOITEL" sheetId="7" r:id="rId2"/>
    <sheet name="0,1% CHUVA" sheetId="3" r:id="rId3"/>
    <sheet name="0,1% SECA" sheetId="9" r:id="rId4"/>
    <sheet name="SEQUESTRO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10" l="1"/>
  <c r="D16" i="10"/>
  <c r="E11" i="7"/>
  <c r="E10" i="7"/>
  <c r="E8" i="7"/>
  <c r="E9" i="7"/>
  <c r="D15" i="3" l="1"/>
  <c r="L4" i="10" l="1"/>
  <c r="O1" i="10" s="1"/>
  <c r="O20" i="10"/>
  <c r="D15" i="9"/>
  <c r="E10" i="10"/>
  <c r="I19" i="10"/>
  <c r="I20" i="10"/>
  <c r="I8" i="10"/>
  <c r="O22" i="10"/>
  <c r="D12" i="10"/>
  <c r="E11" i="10"/>
  <c r="E9" i="10"/>
  <c r="E8" i="10"/>
  <c r="O4" i="10"/>
  <c r="K2" i="10"/>
  <c r="J2" i="10"/>
  <c r="I2" i="10"/>
  <c r="L26" i="8"/>
  <c r="L25" i="8"/>
  <c r="J2" i="8"/>
  <c r="I2" i="8"/>
  <c r="D15" i="8"/>
  <c r="O21" i="8" s="1"/>
  <c r="M28" i="3"/>
  <c r="M29" i="3" s="1"/>
  <c r="E7" i="10" l="1"/>
  <c r="E12" i="10" s="1"/>
  <c r="D26" i="10" s="1"/>
  <c r="O5" i="10"/>
  <c r="E10" i="9"/>
  <c r="D18" i="9"/>
  <c r="E9" i="9" s="1"/>
  <c r="M24" i="9"/>
  <c r="D24" i="9"/>
  <c r="H16" i="9"/>
  <c r="M6" i="9" s="1"/>
  <c r="E7" i="9"/>
  <c r="D12" i="9"/>
  <c r="E11" i="9"/>
  <c r="M10" i="9"/>
  <c r="E8" i="9"/>
  <c r="P6" i="9"/>
  <c r="O8" i="10" l="1"/>
  <c r="L5" i="10"/>
  <c r="L6" i="10" s="1"/>
  <c r="M11" i="9"/>
  <c r="H17" i="9" s="1"/>
  <c r="H18" i="9" s="1"/>
  <c r="E12" i="9"/>
  <c r="G13" i="9" s="1"/>
  <c r="G14" i="9" s="1"/>
  <c r="M14" i="9"/>
  <c r="L8" i="10" l="1"/>
  <c r="I17" i="10" s="1"/>
  <c r="J17" i="10" s="1"/>
  <c r="O25" i="10"/>
  <c r="H20" i="9"/>
  <c r="D35" i="9" s="1"/>
  <c r="N9" i="9"/>
  <c r="O9" i="10"/>
  <c r="O15" i="10"/>
  <c r="O23" i="10" s="1"/>
  <c r="O26" i="10" s="1"/>
  <c r="M19" i="9"/>
  <c r="M25" i="9" s="1"/>
  <c r="D37" i="9"/>
  <c r="D36" i="9"/>
  <c r="I15" i="10" l="1"/>
  <c r="J15" i="10" s="1"/>
  <c r="I13" i="10"/>
  <c r="K13" i="10" s="1"/>
  <c r="I16" i="10"/>
  <c r="J16" i="10" s="1"/>
  <c r="I14" i="10"/>
  <c r="J14" i="10" s="1"/>
  <c r="L9" i="10"/>
  <c r="O10" i="10" s="1"/>
  <c r="O11" i="10" s="1"/>
  <c r="O17" i="10" s="1"/>
  <c r="O19" i="10" s="1"/>
  <c r="D34" i="9"/>
  <c r="F34" i="9" s="1"/>
  <c r="H21" i="9"/>
  <c r="M8" i="9" s="1"/>
  <c r="M15" i="9" s="1"/>
  <c r="D38" i="9"/>
  <c r="M21" i="9"/>
  <c r="M22" i="9" s="1"/>
  <c r="M16" i="9"/>
  <c r="M17" i="9" s="1"/>
  <c r="E10" i="8"/>
  <c r="O23" i="8"/>
  <c r="D24" i="8"/>
  <c r="I12" i="8"/>
  <c r="O1" i="8" s="1"/>
  <c r="E7" i="8"/>
  <c r="D12" i="8"/>
  <c r="O5" i="8"/>
  <c r="E11" i="8"/>
  <c r="E9" i="8"/>
  <c r="E8" i="8"/>
  <c r="K2" i="8"/>
  <c r="J13" i="10" l="1"/>
  <c r="I18" i="10" s="1"/>
  <c r="I21" i="10" s="1"/>
  <c r="O12" i="10"/>
  <c r="O13" i="10" s="1"/>
  <c r="O14" i="10" s="1"/>
  <c r="O16" i="10"/>
  <c r="M18" i="9"/>
  <c r="M20" i="9" s="1"/>
  <c r="M26" i="9"/>
  <c r="O6" i="8"/>
  <c r="E12" i="8"/>
  <c r="H9" i="8" s="1"/>
  <c r="H10" i="8" s="1"/>
  <c r="I13" i="8"/>
  <c r="I14" i="8" s="1"/>
  <c r="I16" i="8" s="1"/>
  <c r="O9" i="8"/>
  <c r="O14" i="8"/>
  <c r="N15" i="7"/>
  <c r="N9" i="7"/>
  <c r="N10" i="7" s="1"/>
  <c r="N11" i="7" s="1"/>
  <c r="N13" i="7" s="1"/>
  <c r="N7" i="7"/>
  <c r="J10" i="7"/>
  <c r="O24" i="10" l="1"/>
  <c r="O16" i="8"/>
  <c r="O24" i="8"/>
  <c r="H23" i="8"/>
  <c r="L23" i="8" s="1"/>
  <c r="H22" i="8"/>
  <c r="L22" i="8" s="1"/>
  <c r="I17" i="8"/>
  <c r="O3" i="8" s="1"/>
  <c r="O10" i="8" s="1"/>
  <c r="H21" i="8"/>
  <c r="L21" i="8" s="1"/>
  <c r="H20" i="8"/>
  <c r="N17" i="7"/>
  <c r="N18" i="7" s="1"/>
  <c r="N20" i="7" s="1"/>
  <c r="N21" i="7" s="1"/>
  <c r="N22" i="7" s="1"/>
  <c r="J11" i="7"/>
  <c r="L20" i="8" l="1"/>
  <c r="L24" i="8" s="1"/>
  <c r="L27" i="8" s="1"/>
  <c r="J20" i="8"/>
  <c r="O11" i="8"/>
  <c r="O17" i="8"/>
  <c r="O18" i="8" l="1"/>
  <c r="O20" i="8" s="1"/>
  <c r="O12" i="8"/>
  <c r="E10" i="3"/>
  <c r="O13" i="8" l="1"/>
  <c r="O15" i="8" s="1"/>
  <c r="O25" i="8"/>
  <c r="M24" i="3"/>
  <c r="D24" i="3"/>
  <c r="H16" i="3"/>
  <c r="M6" i="3" s="1"/>
  <c r="D12" i="3"/>
  <c r="M10" i="3"/>
  <c r="E11" i="3"/>
  <c r="E9" i="3"/>
  <c r="E8" i="3"/>
  <c r="E7" i="3"/>
  <c r="P6" i="3"/>
  <c r="M11" i="3" l="1"/>
  <c r="H17" i="3" s="1"/>
  <c r="H18" i="3" s="1"/>
  <c r="H20" i="3" s="1"/>
  <c r="D37" i="3" s="1"/>
  <c r="E12" i="3"/>
  <c r="G13" i="3" s="1"/>
  <c r="G14" i="3" s="1"/>
  <c r="D38" i="3" l="1"/>
  <c r="D36" i="3"/>
  <c r="D35" i="3"/>
  <c r="D34" i="3"/>
  <c r="F34" i="3" s="1"/>
  <c r="M19" i="3"/>
  <c r="M21" i="3" s="1"/>
  <c r="M14" i="3"/>
  <c r="H21" i="3"/>
  <c r="M8" i="3" l="1"/>
  <c r="M15" i="3" s="1"/>
  <c r="M16" i="3" s="1"/>
  <c r="M25" i="3"/>
  <c r="M22" i="3" l="1"/>
  <c r="M17" i="3"/>
  <c r="M26" i="3" s="1"/>
  <c r="M30" i="3"/>
  <c r="M31" i="3" l="1"/>
  <c r="M32" i="3" s="1"/>
  <c r="M33" i="3" s="1"/>
  <c r="N30" i="3"/>
  <c r="O30" i="3" s="1"/>
  <c r="M18" i="3"/>
  <c r="M20" i="3" s="1"/>
  <c r="O33" i="3" l="1"/>
  <c r="O34" i="3" s="1"/>
</calcChain>
</file>

<file path=xl/sharedStrings.xml><?xml version="1.0" encoding="utf-8"?>
<sst xmlns="http://schemas.openxmlformats.org/spreadsheetml/2006/main" count="351" uniqueCount="105">
  <si>
    <t>INSUMOS</t>
  </si>
  <si>
    <t>INCLUSÃO</t>
  </si>
  <si>
    <t>TOTAL</t>
  </si>
  <si>
    <t>MILHO</t>
  </si>
  <si>
    <t>TORTA DE ALGODÃO</t>
  </si>
  <si>
    <t>CUSTO</t>
  </si>
  <si>
    <t>CUSTOS</t>
  </si>
  <si>
    <t>OPERACIONAL</t>
  </si>
  <si>
    <t>R$/KG</t>
  </si>
  <si>
    <t>CUSTO DA RACAO TOTAL</t>
  </si>
  <si>
    <t>PESO DE ENTRADA NA ENGORDA</t>
  </si>
  <si>
    <t>KG</t>
  </si>
  <si>
    <t>DIAS</t>
  </si>
  <si>
    <t>DIARIA DA ENGORDA</t>
  </si>
  <si>
    <t>R$</t>
  </si>
  <si>
    <t>GMD DA ENGORDA</t>
  </si>
  <si>
    <t>GANHO NO PERIODO</t>
  </si>
  <si>
    <t>PESO VENDA FRIG</t>
  </si>
  <si>
    <t>RENDIMENTO DO FRIGORIFICO</t>
  </si>
  <si>
    <t>%</t>
  </si>
  <si>
    <t>VALOR DA @ NA VENDA</t>
  </si>
  <si>
    <t>VALOR POR BOI</t>
  </si>
  <si>
    <t>CUSTO DA ENGORDA</t>
  </si>
  <si>
    <t>LUCRO LIQUIDO</t>
  </si>
  <si>
    <t>LUCRO NO PERIODO</t>
  </si>
  <si>
    <t>PESO DE VENDA</t>
  </si>
  <si>
    <t>LUCRO AO MES</t>
  </si>
  <si>
    <t>PESO ENTRADA</t>
  </si>
  <si>
    <t>PESO SAIDA</t>
  </si>
  <si>
    <t>MEDIA</t>
  </si>
  <si>
    <t>DIARIA</t>
  </si>
  <si>
    <t>COM.%DO PV</t>
  </si>
  <si>
    <t>CONSUMO ESTI</t>
  </si>
  <si>
    <t>COMPRA</t>
  </si>
  <si>
    <t>CUSTO DA @</t>
  </si>
  <si>
    <t>CUSTO ENGORDA + TAXAS + COMPRA</t>
  </si>
  <si>
    <t>TAXAS E OUTROS CUSTOS</t>
  </si>
  <si>
    <t>ARROBAS PRODUZIDAS</t>
  </si>
  <si>
    <t>EMPRESA</t>
  </si>
  <si>
    <t>REPRESENTANTE</t>
  </si>
  <si>
    <t>HUGO BECKER LORENZETTI</t>
  </si>
  <si>
    <t>CLIENTE</t>
  </si>
  <si>
    <t xml:space="preserve">LOTAÇÃO </t>
  </si>
  <si>
    <t>GIROS POR ANO</t>
  </si>
  <si>
    <t>FÓRMULA</t>
  </si>
  <si>
    <t>INSUMOS UTILIZADOS</t>
  </si>
  <si>
    <t>NUCLEO</t>
  </si>
  <si>
    <t>TORTA</t>
  </si>
  <si>
    <t>ANIMAIS</t>
  </si>
  <si>
    <t>SACAS</t>
  </si>
  <si>
    <t>TONELADAS</t>
  </si>
  <si>
    <t>CUSTO DAS ARROBAS PRODUZIDAS</t>
  </si>
  <si>
    <t>T</t>
  </si>
  <si>
    <t>LUCRO HÁ ANO</t>
  </si>
  <si>
    <t>GMC</t>
  </si>
  <si>
    <t>MJ NUTRIÇÃO ANIMAL</t>
  </si>
  <si>
    <t>LORENZETTI</t>
  </si>
  <si>
    <t>INICIO</t>
  </si>
  <si>
    <t>DDG</t>
  </si>
  <si>
    <t>FIM</t>
  </si>
  <si>
    <t>NUCLEO RC 700</t>
  </si>
  <si>
    <t>SAL BRANCO</t>
  </si>
  <si>
    <t>UREIA</t>
  </si>
  <si>
    <t>CUSTO DAS ARROBAS TOTAIS</t>
  </si>
  <si>
    <t>DIFERENCA DE BASE</t>
  </si>
  <si>
    <t>PRECO PRA PUT</t>
  </si>
  <si>
    <t>QUANTIDADE</t>
  </si>
  <si>
    <t>PESO</t>
  </si>
  <si>
    <t>VALOR DA @</t>
  </si>
  <si>
    <t>VALOR TOTAL</t>
  </si>
  <si>
    <t>BOITEL</t>
  </si>
  <si>
    <t>PERDA</t>
  </si>
  <si>
    <t>PESO CHEGADA</t>
  </si>
  <si>
    <t>PERDA EM KG</t>
  </si>
  <si>
    <t>ARROBA DE CHEGADA</t>
  </si>
  <si>
    <t>PESO VENDA</t>
  </si>
  <si>
    <t>CUSTO DAS ARROBAS</t>
  </si>
  <si>
    <t>OUTROS CUSTOS</t>
  </si>
  <si>
    <t>CUSTO FINAL</t>
  </si>
  <si>
    <t>BREAK EVEN</t>
  </si>
  <si>
    <t>PROJECAO TRAVA</t>
  </si>
  <si>
    <t>SALDO</t>
  </si>
  <si>
    <t>LUCRATIVIDADE</t>
  </si>
  <si>
    <t>RENTABILIDADE</t>
  </si>
  <si>
    <t>PACTOR 70</t>
  </si>
  <si>
    <t>arrendamento</t>
  </si>
  <si>
    <t>meses</t>
  </si>
  <si>
    <t>custo pasto</t>
  </si>
  <si>
    <t>custo total</t>
  </si>
  <si>
    <t>lucro liquido</t>
  </si>
  <si>
    <t>lucratividade</t>
  </si>
  <si>
    <t>ao mês</t>
  </si>
  <si>
    <t>SPREAD @BOI X MILHO</t>
  </si>
  <si>
    <t>GADO</t>
  </si>
  <si>
    <t>OUTROS</t>
  </si>
  <si>
    <t>CUSTO RACAO</t>
  </si>
  <si>
    <t>PM</t>
  </si>
  <si>
    <t>,@ NO FRIG</t>
  </si>
  <si>
    <t>PACTOR 170</t>
  </si>
  <si>
    <t>relacao de ganho gmd/pm</t>
  </si>
  <si>
    <t>relacao de ganho gmc/pm</t>
  </si>
  <si>
    <t>MILHO SACA</t>
  </si>
  <si>
    <t>MILHO TON</t>
  </si>
  <si>
    <t>SAL BRANCO SACA</t>
  </si>
  <si>
    <t>SAL BRANCO 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</si>
</sst>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.000_-;\-&quot;R$&quot;\ * #,##0.000_-;_-&quot;R$&quot;\ * &quot;-&quot;??_-;_-@_-"/>
    <numFmt numFmtId="165" formatCode="_-[$R$-416]\ * #,##0.00_-;\-[$R$-416]\ * #,##0.00_-;_-[$R$-416]\ * &quot;-&quot;??_-;_-@_-"/>
    <numFmt numFmtId="166" formatCode="0.0%"/>
    <numFmt numFmtId="167" formatCode="0.000"/>
    <numFmt numFmtId="168" formatCode="0.00\ &quot;kg&quot;"/>
    <numFmt numFmtId="169" formatCode="_-&quot;R$&quot;\ * #,##0.000_-;\-&quot;R$&quot;\ * #,##0.000_-;_-&quot;R$&quot;\ * &quot;-&quot;???_-;_-@_-"/>
    <numFmt numFmtId="170" formatCode="0.00\ &quot;R$/kg&quot;"/>
    <numFmt numFmtId="171" formatCode="0\ &quot;kg&quot;"/>
    <numFmt numFmtId="172" formatCode="0.00\ &quot;@&quot;"/>
    <numFmt numFmtId="173" formatCode="0.00\ &quot;SACAS&quot;"/>
    <numFmt numFmtId="174" formatCode="0\ &quot;T&quot;"/>
    <numFmt numFmtId="175" formatCode="#,##0.000000"/>
    <numFmt numFmtId="176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50">
    <xf numFmtId="0" fontId="0" fillId="0" borderId="0" xfId="0"/>
    <xf numFmtId="0" fontId="5" fillId="0" borderId="0" xfId="0" applyFont="1"/>
    <xf numFmtId="0" fontId="5" fillId="2" borderId="3" xfId="0" applyFont="1" applyFill="1" applyBorder="1"/>
    <xf numFmtId="0" fontId="3" fillId="2" borderId="3" xfId="0" applyFont="1" applyFill="1" applyBorder="1"/>
    <xf numFmtId="0" fontId="5" fillId="0" borderId="0" xfId="0" applyFont="1" applyAlignment="1">
      <alignment horizontal="center"/>
    </xf>
    <xf numFmtId="10" fontId="2" fillId="0" borderId="0" xfId="1" applyNumberFormat="1" applyFont="1" applyAlignment="1" applyProtection="1">
      <alignment horizontal="center"/>
      <protection hidden="1"/>
    </xf>
    <xf numFmtId="0" fontId="3" fillId="2" borderId="3" xfId="0" applyFont="1" applyFill="1" applyBorder="1" applyAlignment="1">
      <alignment horizontal="left"/>
    </xf>
    <xf numFmtId="4" fontId="4" fillId="2" borderId="3" xfId="0" applyNumberFormat="1" applyFont="1" applyFill="1" applyBorder="1"/>
    <xf numFmtId="0" fontId="4" fillId="2" borderId="3" xfId="1" applyFont="1" applyFill="1" applyBorder="1" applyAlignment="1" applyProtection="1">
      <alignment horizontal="left"/>
      <protection hidden="1"/>
    </xf>
    <xf numFmtId="0" fontId="2" fillId="2" borderId="3" xfId="1" applyFont="1" applyFill="1" applyBorder="1" applyAlignment="1" applyProtection="1">
      <alignment horizontal="left"/>
      <protection hidden="1"/>
    </xf>
    <xf numFmtId="10" fontId="2" fillId="2" borderId="3" xfId="1" applyNumberFormat="1" applyFont="1" applyFill="1" applyBorder="1" applyAlignment="1" applyProtection="1">
      <alignment horizontal="center"/>
      <protection hidden="1"/>
    </xf>
    <xf numFmtId="10" fontId="2" fillId="3" borderId="3" xfId="1" applyNumberFormat="1" applyFont="1" applyFill="1" applyBorder="1" applyAlignment="1" applyProtection="1">
      <alignment horizontal="center"/>
      <protection locked="0" hidden="1"/>
    </xf>
    <xf numFmtId="0" fontId="5" fillId="3" borderId="3" xfId="0" applyFont="1" applyFill="1" applyBorder="1" applyAlignment="1" applyProtection="1">
      <alignment horizontal="center"/>
      <protection locked="0"/>
    </xf>
    <xf numFmtId="0" fontId="5" fillId="3" borderId="3" xfId="0" applyFont="1" applyFill="1" applyBorder="1" applyProtection="1">
      <protection locked="0"/>
    </xf>
    <xf numFmtId="0" fontId="3" fillId="2" borderId="3" xfId="0" applyFont="1" applyFill="1" applyBorder="1" applyAlignment="1">
      <alignment horizontal="right"/>
    </xf>
    <xf numFmtId="4" fontId="5" fillId="2" borderId="3" xfId="0" applyNumberFormat="1" applyFont="1" applyFill="1" applyBorder="1"/>
    <xf numFmtId="0" fontId="5" fillId="0" borderId="0" xfId="0" applyFont="1" applyAlignment="1">
      <alignment horizontal="left"/>
    </xf>
    <xf numFmtId="0" fontId="2" fillId="2" borderId="3" xfId="1" applyFont="1" applyFill="1" applyBorder="1" applyAlignment="1" applyProtection="1">
      <alignment horizontal="center"/>
      <protection hidden="1"/>
    </xf>
    <xf numFmtId="0" fontId="3" fillId="2" borderId="3" xfId="0" applyFont="1" applyFill="1" applyBorder="1" applyAlignment="1">
      <alignment horizontal="center"/>
    </xf>
    <xf numFmtId="43" fontId="5" fillId="2" borderId="3" xfId="4" applyFont="1" applyFill="1" applyBorder="1"/>
    <xf numFmtId="0" fontId="5" fillId="2" borderId="4" xfId="0" applyFont="1" applyFill="1" applyBorder="1"/>
    <xf numFmtId="43" fontId="5" fillId="2" borderId="3" xfId="0" applyNumberFormat="1" applyFont="1" applyFill="1" applyBorder="1"/>
    <xf numFmtId="164" fontId="5" fillId="2" borderId="3" xfId="5" applyNumberFormat="1" applyFont="1" applyFill="1" applyBorder="1" applyAlignment="1">
      <alignment horizontal="center"/>
    </xf>
    <xf numFmtId="164" fontId="2" fillId="2" borderId="3" xfId="5" applyNumberFormat="1" applyFont="1" applyFill="1" applyBorder="1" applyAlignment="1" applyProtection="1">
      <alignment horizontal="center"/>
      <protection hidden="1"/>
    </xf>
    <xf numFmtId="0" fontId="3" fillId="0" borderId="0" xfId="0" applyFont="1"/>
    <xf numFmtId="44" fontId="5" fillId="2" borderId="3" xfId="5" applyFont="1" applyFill="1" applyBorder="1"/>
    <xf numFmtId="0" fontId="3" fillId="0" borderId="0" xfId="0" applyFont="1" applyAlignment="1">
      <alignment horizontal="right"/>
    </xf>
    <xf numFmtId="44" fontId="5" fillId="3" borderId="3" xfId="5" applyFont="1" applyFill="1" applyBorder="1" applyAlignment="1" applyProtection="1">
      <alignment horizontal="center"/>
      <protection locked="0"/>
    </xf>
    <xf numFmtId="44" fontId="5" fillId="3" borderId="3" xfId="5" applyFont="1" applyFill="1" applyBorder="1" applyProtection="1">
      <protection locked="0"/>
    </xf>
    <xf numFmtId="0" fontId="2" fillId="0" borderId="0" xfId="1" applyFont="1" applyProtection="1">
      <protection hidden="1"/>
    </xf>
    <xf numFmtId="4" fontId="5" fillId="2" borderId="1" xfId="0" applyNumberFormat="1" applyFont="1" applyFill="1" applyBorder="1" applyAlignment="1">
      <alignment horizontal="right"/>
    </xf>
    <xf numFmtId="4" fontId="5" fillId="3" borderId="1" xfId="0" applyNumberFormat="1" applyFont="1" applyFill="1" applyBorder="1" applyAlignment="1" applyProtection="1">
      <alignment horizontal="right"/>
      <protection locked="0"/>
    </xf>
    <xf numFmtId="4" fontId="2" fillId="0" borderId="0" xfId="0" applyNumberFormat="1" applyFont="1" applyAlignment="1">
      <alignment horizontal="right"/>
    </xf>
    <xf numFmtId="166" fontId="5" fillId="3" borderId="3" xfId="6" applyNumberFormat="1" applyFont="1" applyFill="1" applyBorder="1" applyProtection="1">
      <protection locked="0"/>
    </xf>
    <xf numFmtId="0" fontId="2" fillId="2" borderId="3" xfId="1" applyFont="1" applyFill="1" applyBorder="1" applyProtection="1">
      <protection hidden="1"/>
    </xf>
    <xf numFmtId="0" fontId="5" fillId="2" borderId="3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43" fontId="3" fillId="2" borderId="1" xfId="4" applyFont="1" applyFill="1" applyBorder="1" applyAlignment="1">
      <alignment horizontal="right"/>
    </xf>
    <xf numFmtId="44" fontId="5" fillId="2" borderId="1" xfId="5" applyFont="1" applyFill="1" applyBorder="1" applyAlignment="1">
      <alignment horizontal="right"/>
    </xf>
    <xf numFmtId="10" fontId="5" fillId="2" borderId="1" xfId="6" applyNumberFormat="1" applyFont="1" applyFill="1" applyBorder="1" applyAlignment="1">
      <alignment horizontal="right"/>
    </xf>
    <xf numFmtId="165" fontId="5" fillId="2" borderId="1" xfId="0" applyNumberFormat="1" applyFont="1" applyFill="1" applyBorder="1" applyAlignment="1">
      <alignment horizontal="right"/>
    </xf>
    <xf numFmtId="9" fontId="5" fillId="3" borderId="1" xfId="6" applyFont="1" applyFill="1" applyBorder="1" applyAlignment="1" applyProtection="1">
      <alignment horizontal="right"/>
      <protection locked="0"/>
    </xf>
    <xf numFmtId="44" fontId="5" fillId="3" borderId="1" xfId="5" applyFont="1" applyFill="1" applyBorder="1" applyAlignment="1" applyProtection="1">
      <alignment horizontal="right"/>
      <protection locked="0"/>
    </xf>
    <xf numFmtId="43" fontId="5" fillId="0" borderId="0" xfId="0" applyNumberFormat="1" applyFont="1"/>
    <xf numFmtId="4" fontId="5" fillId="0" borderId="0" xfId="0" applyNumberFormat="1" applyFont="1"/>
    <xf numFmtId="165" fontId="5" fillId="0" borderId="0" xfId="0" applyNumberFormat="1" applyFont="1"/>
    <xf numFmtId="167" fontId="3" fillId="2" borderId="3" xfId="0" applyNumberFormat="1" applyFont="1" applyFill="1" applyBorder="1"/>
    <xf numFmtId="44" fontId="3" fillId="2" borderId="3" xfId="5" applyFont="1" applyFill="1" applyBorder="1"/>
    <xf numFmtId="44" fontId="5" fillId="0" borderId="0" xfId="0" applyNumberFormat="1" applyFont="1"/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44" fontId="5" fillId="0" borderId="0" xfId="5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44" fontId="5" fillId="0" borderId="0" xfId="0" applyNumberFormat="1" applyFont="1" applyAlignment="1">
      <alignment horizontal="center" vertical="center"/>
    </xf>
    <xf numFmtId="14" fontId="5" fillId="0" borderId="0" xfId="0" applyNumberFormat="1" applyFont="1"/>
    <xf numFmtId="44" fontId="3" fillId="2" borderId="3" xfId="5" applyFont="1" applyFill="1" applyBorder="1" applyAlignment="1">
      <alignment horizontal="center" vertical="center"/>
    </xf>
    <xf numFmtId="9" fontId="5" fillId="2" borderId="1" xfId="6" applyFont="1" applyFill="1" applyBorder="1" applyAlignment="1">
      <alignment horizontal="right"/>
    </xf>
    <xf numFmtId="2" fontId="5" fillId="2" borderId="1" xfId="6" applyNumberFormat="1" applyFont="1" applyFill="1" applyBorder="1" applyAlignment="1">
      <alignment horizontal="right"/>
    </xf>
    <xf numFmtId="44" fontId="0" fillId="0" borderId="0" xfId="5" applyFont="1"/>
    <xf numFmtId="9" fontId="0" fillId="0" borderId="0" xfId="6" applyFont="1"/>
    <xf numFmtId="2" fontId="0" fillId="0" borderId="0" xfId="0" applyNumberFormat="1"/>
    <xf numFmtId="44" fontId="0" fillId="0" borderId="0" xfId="0" applyNumberFormat="1"/>
    <xf numFmtId="10" fontId="0" fillId="0" borderId="0" xfId="6" applyNumberFormat="1" applyFont="1"/>
    <xf numFmtId="0" fontId="3" fillId="2" borderId="3" xfId="0" applyFont="1" applyFill="1" applyBorder="1" applyAlignment="1">
      <alignment horizontal="center" vertical="center"/>
    </xf>
    <xf numFmtId="1" fontId="5" fillId="0" borderId="0" xfId="0" applyNumberFormat="1" applyFont="1"/>
    <xf numFmtId="44" fontId="5" fillId="0" borderId="0" xfId="5" applyFont="1"/>
    <xf numFmtId="166" fontId="5" fillId="0" borderId="0" xfId="6" applyNumberFormat="1" applyFont="1"/>
    <xf numFmtId="10" fontId="5" fillId="0" borderId="0" xfId="6" applyNumberFormat="1" applyFont="1"/>
    <xf numFmtId="44" fontId="5" fillId="3" borderId="3" xfId="5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4" fontId="5" fillId="0" borderId="0" xfId="5" applyNumberFormat="1" applyFont="1" applyFill="1" applyBorder="1" applyAlignment="1">
      <alignment horizontal="center"/>
    </xf>
    <xf numFmtId="164" fontId="2" fillId="0" borderId="0" xfId="5" applyNumberFormat="1" applyFont="1" applyFill="1" applyBorder="1" applyAlignment="1" applyProtection="1">
      <alignment horizontal="center"/>
      <protection hidden="1"/>
    </xf>
    <xf numFmtId="44" fontId="3" fillId="0" borderId="0" xfId="5" applyFont="1" applyFill="1" applyBorder="1" applyAlignment="1">
      <alignment horizontal="center" vertical="center"/>
    </xf>
    <xf numFmtId="44" fontId="5" fillId="2" borderId="1" xfId="5" applyFont="1" applyFill="1" applyBorder="1"/>
    <xf numFmtId="44" fontId="3" fillId="2" borderId="1" xfId="5" applyFont="1" applyFill="1" applyBorder="1" applyAlignment="1">
      <alignment horizontal="center" vertical="center"/>
    </xf>
    <xf numFmtId="4" fontId="4" fillId="2" borderId="2" xfId="0" applyNumberFormat="1" applyFont="1" applyFill="1" applyBorder="1"/>
    <xf numFmtId="0" fontId="3" fillId="2" borderId="2" xfId="0" applyFont="1" applyFill="1" applyBorder="1"/>
    <xf numFmtId="44" fontId="5" fillId="0" borderId="0" xfId="5" applyFont="1" applyFill="1" applyBorder="1"/>
    <xf numFmtId="173" fontId="3" fillId="2" borderId="3" xfId="0" applyNumberFormat="1" applyFont="1" applyFill="1" applyBorder="1" applyAlignment="1">
      <alignment horizontal="center" vertical="center"/>
    </xf>
    <xf numFmtId="174" fontId="3" fillId="2" borderId="3" xfId="4" applyNumberFormat="1" applyFont="1" applyFill="1" applyBorder="1" applyAlignment="1">
      <alignment horizontal="center" vertical="center"/>
    </xf>
    <xf numFmtId="44" fontId="3" fillId="3" borderId="3" xfId="5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44" fontId="3" fillId="0" borderId="0" xfId="5" applyFont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4" fontId="2" fillId="2" borderId="3" xfId="0" applyNumberFormat="1" applyFont="1" applyFill="1" applyBorder="1" applyAlignment="1">
      <alignment horizontal="center" vertical="center"/>
    </xf>
    <xf numFmtId="171" fontId="3" fillId="2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 applyProtection="1">
      <alignment horizontal="center" vertical="center"/>
      <protection locked="0"/>
    </xf>
    <xf numFmtId="0" fontId="2" fillId="2" borderId="3" xfId="1" applyFont="1" applyFill="1" applyBorder="1" applyAlignment="1" applyProtection="1">
      <alignment horizontal="center" vertical="center"/>
      <protection hidden="1"/>
    </xf>
    <xf numFmtId="4" fontId="2" fillId="0" borderId="0" xfId="0" applyNumberFormat="1" applyFont="1" applyAlignment="1">
      <alignment horizontal="center" vertical="center"/>
    </xf>
    <xf numFmtId="10" fontId="2" fillId="3" borderId="3" xfId="1" applyNumberFormat="1" applyFont="1" applyFill="1" applyBorder="1" applyAlignment="1" applyProtection="1">
      <alignment horizontal="center" vertical="center"/>
      <protection locked="0" hidden="1"/>
    </xf>
    <xf numFmtId="164" fontId="3" fillId="2" borderId="3" xfId="5" applyNumberFormat="1" applyFont="1" applyFill="1" applyBorder="1" applyAlignment="1">
      <alignment horizontal="center" vertical="center"/>
    </xf>
    <xf numFmtId="164" fontId="3" fillId="0" borderId="0" xfId="5" applyNumberFormat="1" applyFont="1" applyFill="1" applyBorder="1" applyAlignment="1">
      <alignment horizontal="center" vertical="center"/>
    </xf>
    <xf numFmtId="166" fontId="3" fillId="3" borderId="3" xfId="6" applyNumberFormat="1" applyFont="1" applyFill="1" applyBorder="1" applyAlignment="1" applyProtection="1">
      <alignment horizontal="center" vertical="center"/>
      <protection locked="0"/>
    </xf>
    <xf numFmtId="168" fontId="3" fillId="2" borderId="3" xfId="0" applyNumberFormat="1" applyFont="1" applyFill="1" applyBorder="1" applyAlignment="1">
      <alignment horizontal="center" vertical="center"/>
    </xf>
    <xf numFmtId="10" fontId="2" fillId="0" borderId="0" xfId="1" applyNumberFormat="1" applyFont="1" applyAlignment="1" applyProtection="1">
      <alignment horizontal="center" vertical="center"/>
      <protection hidden="1"/>
    </xf>
    <xf numFmtId="10" fontId="2" fillId="2" borderId="3" xfId="1" applyNumberFormat="1" applyFont="1" applyFill="1" applyBorder="1" applyAlignment="1" applyProtection="1">
      <alignment horizontal="center" vertical="center"/>
      <protection hidden="1"/>
    </xf>
    <xf numFmtId="164" fontId="2" fillId="2" borderId="3" xfId="5" applyNumberFormat="1" applyFont="1" applyFill="1" applyBorder="1" applyAlignment="1" applyProtection="1">
      <alignment horizontal="center" vertical="center"/>
      <protection hidden="1"/>
    </xf>
    <xf numFmtId="164" fontId="2" fillId="0" borderId="0" xfId="5" applyNumberFormat="1" applyFont="1" applyFill="1" applyBorder="1" applyAlignment="1" applyProtection="1">
      <alignment horizontal="center" vertical="center"/>
      <protection hidden="1"/>
    </xf>
    <xf numFmtId="0" fontId="2" fillId="0" borderId="0" xfId="1" applyFont="1" applyAlignment="1" applyProtection="1">
      <alignment horizontal="center" vertical="center"/>
      <protection hidden="1"/>
    </xf>
    <xf numFmtId="169" fontId="2" fillId="2" borderId="3" xfId="1" applyNumberFormat="1" applyFont="1" applyFill="1" applyBorder="1" applyAlignment="1" applyProtection="1">
      <alignment horizontal="center" vertical="center"/>
      <protection hidden="1"/>
    </xf>
    <xf numFmtId="4" fontId="3" fillId="0" borderId="0" xfId="0" applyNumberFormat="1" applyFon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3" borderId="3" xfId="0" applyNumberFormat="1" applyFont="1" applyFill="1" applyBorder="1" applyAlignment="1" applyProtection="1">
      <alignment horizontal="right" vertical="center"/>
      <protection locked="0"/>
    </xf>
    <xf numFmtId="9" fontId="3" fillId="3" borderId="3" xfId="6" applyFont="1" applyFill="1" applyBorder="1" applyAlignment="1" applyProtection="1">
      <alignment horizontal="right" vertical="center"/>
      <protection locked="0"/>
    </xf>
    <xf numFmtId="44" fontId="3" fillId="3" borderId="3" xfId="5" applyFont="1" applyFill="1" applyBorder="1" applyAlignment="1" applyProtection="1">
      <alignment horizontal="right" vertical="center"/>
      <protection locked="0"/>
    </xf>
    <xf numFmtId="172" fontId="3" fillId="2" borderId="3" xfId="5" applyNumberFormat="1" applyFont="1" applyFill="1" applyBorder="1" applyAlignment="1" applyProtection="1">
      <alignment horizontal="right" vertical="center"/>
      <protection locked="0"/>
    </xf>
    <xf numFmtId="44" fontId="3" fillId="2" borderId="3" xfId="5" applyFont="1" applyFill="1" applyBorder="1" applyAlignment="1">
      <alignment horizontal="right" vertical="center"/>
    </xf>
    <xf numFmtId="10" fontId="3" fillId="2" borderId="3" xfId="6" applyNumberFormat="1" applyFont="1" applyFill="1" applyBorder="1" applyAlignment="1">
      <alignment horizontal="right" vertical="center"/>
    </xf>
    <xf numFmtId="172" fontId="3" fillId="2" borderId="3" xfId="0" applyNumberFormat="1" applyFont="1" applyFill="1" applyBorder="1" applyAlignment="1">
      <alignment horizontal="right" vertical="center"/>
    </xf>
    <xf numFmtId="165" fontId="3" fillId="2" borderId="3" xfId="0" applyNumberFormat="1" applyFont="1" applyFill="1" applyBorder="1" applyAlignment="1">
      <alignment horizontal="right" vertical="center"/>
    </xf>
    <xf numFmtId="2" fontId="3" fillId="2" borderId="3" xfId="6" applyNumberFormat="1" applyFont="1" applyFill="1" applyBorder="1" applyAlignment="1">
      <alignment horizontal="right" vertical="center"/>
    </xf>
    <xf numFmtId="43" fontId="3" fillId="2" borderId="3" xfId="4" applyFont="1" applyFill="1" applyBorder="1" applyAlignment="1">
      <alignment horizontal="right" vertical="center"/>
    </xf>
    <xf numFmtId="167" fontId="3" fillId="2" borderId="3" xfId="0" applyNumberFormat="1" applyFont="1" applyFill="1" applyBorder="1" applyAlignment="1">
      <alignment horizontal="right" vertical="center"/>
    </xf>
    <xf numFmtId="10" fontId="5" fillId="3" borderId="3" xfId="6" applyNumberFormat="1" applyFont="1" applyFill="1" applyBorder="1" applyProtection="1">
      <protection locked="0"/>
    </xf>
    <xf numFmtId="175" fontId="2" fillId="0" borderId="0" xfId="0" applyNumberFormat="1" applyFont="1" applyAlignment="1">
      <alignment horizontal="right"/>
    </xf>
    <xf numFmtId="10" fontId="3" fillId="2" borderId="3" xfId="6" applyNumberFormat="1" applyFont="1" applyFill="1" applyBorder="1" applyAlignment="1">
      <alignment horizontal="center" vertical="center"/>
    </xf>
    <xf numFmtId="9" fontId="5" fillId="0" borderId="0" xfId="0" applyNumberFormat="1" applyFont="1"/>
    <xf numFmtId="176" fontId="0" fillId="0" borderId="0" xfId="0" applyNumberFormat="1"/>
    <xf numFmtId="1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 applyProtection="1">
      <alignment horizontal="center" vertical="center"/>
      <protection locked="0"/>
    </xf>
    <xf numFmtId="14" fontId="3" fillId="2" borderId="1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3" xfId="1" applyFont="1" applyFill="1" applyBorder="1" applyAlignment="1" applyProtection="1">
      <alignment horizontal="center" vertical="center"/>
      <protection hidden="1"/>
    </xf>
    <xf numFmtId="44" fontId="3" fillId="3" borderId="1" xfId="5" applyFont="1" applyFill="1" applyBorder="1" applyAlignment="1" applyProtection="1">
      <alignment horizontal="center" vertical="center"/>
      <protection locked="0"/>
    </xf>
    <xf numFmtId="44" fontId="3" fillId="3" borderId="2" xfId="5" applyFont="1" applyFill="1" applyBorder="1" applyAlignment="1" applyProtection="1">
      <alignment horizontal="center" vertical="center"/>
      <protection locked="0"/>
    </xf>
    <xf numFmtId="170" fontId="3" fillId="3" borderId="1" xfId="0" applyNumberFormat="1" applyFont="1" applyFill="1" applyBorder="1" applyAlignment="1" applyProtection="1">
      <alignment horizontal="center" vertical="center"/>
      <protection locked="0"/>
    </xf>
    <xf numFmtId="170" fontId="3" fillId="3" borderId="2" xfId="0" applyNumberFormat="1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>
      <alignment horizontal="center" vertical="center"/>
    </xf>
    <xf numFmtId="44" fontId="5" fillId="3" borderId="1" xfId="5" applyFont="1" applyFill="1" applyBorder="1" applyAlignment="1" applyProtection="1">
      <alignment horizontal="center"/>
      <protection locked="0"/>
    </xf>
    <xf numFmtId="44" fontId="5" fillId="3" borderId="2" xfId="5" applyFont="1" applyFill="1" applyBorder="1" applyAlignment="1" applyProtection="1">
      <alignment horizontal="center"/>
      <protection locked="0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2" fillId="2" borderId="3" xfId="1" applyFont="1" applyFill="1" applyBorder="1" applyAlignment="1" applyProtection="1">
      <alignment horizontal="center"/>
      <protection hidden="1"/>
    </xf>
    <xf numFmtId="0" fontId="5" fillId="2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14" fontId="5" fillId="3" borderId="1" xfId="0" applyNumberFormat="1" applyFont="1" applyFill="1" applyBorder="1" applyAlignment="1" applyProtection="1">
      <alignment horizontal="center"/>
      <protection locked="0"/>
    </xf>
    <xf numFmtId="0" fontId="5" fillId="3" borderId="2" xfId="0" applyFont="1" applyFill="1" applyBorder="1" applyAlignment="1" applyProtection="1">
      <alignment horizontal="center"/>
      <protection locked="0"/>
    </xf>
    <xf numFmtId="14" fontId="5" fillId="2" borderId="1" xfId="0" applyNumberFormat="1" applyFont="1" applyFill="1" applyBorder="1" applyAlignment="1">
      <alignment horizontal="center"/>
    </xf>
  </cellXfs>
  <cellStyles count="7">
    <cellStyle name="Moeda" xfId="5" builtinId="4"/>
    <cellStyle name="Normal" xfId="0" builtinId="0"/>
    <cellStyle name="Normal 2" xfId="1" xr:uid="{00000000-0005-0000-0000-000002000000}"/>
    <cellStyle name="Porcentagem" xfId="6" builtinId="5"/>
    <cellStyle name="Porcentagem 2" xfId="3" xr:uid="{00000000-0005-0000-0000-000004000000}"/>
    <cellStyle name="Vírgula" xfId="4" builtinId="3"/>
    <cellStyle name="Vírgula 2" xfId="2" xr:uid="{00000000-0005-0000-0000-000006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94E88-18BF-480E-8B16-C13240C72002}">
  <sheetPr>
    <tabColor rgb="FF00B050"/>
    <pageSetUpPr fitToPage="1"/>
  </sheetPr>
  <dimension ref="C1:X42"/>
  <sheetViews>
    <sheetView showGridLines="0" tabSelected="1" zoomScale="70" zoomScaleNormal="70" workbookViewId="0">
      <selection activeCell="Q19" sqref="Q19"/>
    </sheetView>
  </sheetViews>
  <sheetFormatPr defaultColWidth="9.109375" defaultRowHeight="18" x14ac:dyDescent="0.3"/>
  <cols>
    <col min="1" max="2" width="9.109375" style="83"/>
    <col min="3" max="3" width="25.33203125" style="83" customWidth="1"/>
    <col min="4" max="4" width="19.44140625" style="83" customWidth="1"/>
    <col min="5" max="5" width="13.88671875" style="83" bestFit="1" customWidth="1"/>
    <col min="6" max="6" width="7.109375" style="83" bestFit="1" customWidth="1"/>
    <col min="7" max="7" width="14.5546875" style="83" bestFit="1" customWidth="1"/>
    <col min="8" max="8" width="20.109375" style="83" bestFit="1" customWidth="1"/>
    <col min="9" max="9" width="22.33203125" style="83" customWidth="1"/>
    <col min="10" max="10" width="18.6640625" style="83" bestFit="1" customWidth="1"/>
    <col min="11" max="11" width="20.33203125" style="83" bestFit="1" customWidth="1"/>
    <col min="12" max="12" width="13" style="83" bestFit="1" customWidth="1"/>
    <col min="13" max="13" width="4.88671875" style="83" customWidth="1"/>
    <col min="14" max="14" width="41.33203125" style="83" bestFit="1" customWidth="1"/>
    <col min="15" max="15" width="18.33203125" style="83" bestFit="1" customWidth="1"/>
    <col min="16" max="16" width="17.88671875" style="83" customWidth="1"/>
    <col min="17" max="17" width="41.33203125" style="83" bestFit="1" customWidth="1"/>
    <col min="18" max="18" width="18.109375" style="83" bestFit="1" customWidth="1"/>
    <col min="19" max="19" width="9.109375" style="83"/>
    <col min="20" max="20" width="14.44140625" style="83" bestFit="1" customWidth="1"/>
    <col min="21" max="21" width="16.5546875" style="83" bestFit="1" customWidth="1"/>
    <col min="22" max="22" width="14.44140625" style="83" bestFit="1" customWidth="1"/>
    <col min="23" max="23" width="19.5546875" style="83" bestFit="1" customWidth="1"/>
    <col min="24" max="24" width="16.5546875" style="83" bestFit="1" customWidth="1"/>
    <col min="25" max="16384" width="9.109375" style="83"/>
  </cols>
  <sheetData>
    <row r="1" spans="3:16" x14ac:dyDescent="0.3">
      <c r="C1" s="64" t="s">
        <v>38</v>
      </c>
      <c r="D1" s="125" t="s">
        <v>55</v>
      </c>
      <c r="E1" s="126"/>
      <c r="H1" s="125" t="s">
        <v>57</v>
      </c>
      <c r="I1" s="126">
        <v>44760</v>
      </c>
      <c r="J1" s="127">
        <v>46109</v>
      </c>
      <c r="K1" s="128"/>
      <c r="N1" s="89" t="s">
        <v>10</v>
      </c>
      <c r="O1" s="107">
        <f>L4</f>
        <v>405</v>
      </c>
    </row>
    <row r="2" spans="3:16" x14ac:dyDescent="0.3">
      <c r="C2" s="64"/>
      <c r="D2" s="125" t="s">
        <v>40</v>
      </c>
      <c r="E2" s="126"/>
      <c r="H2" s="125" t="s">
        <v>59</v>
      </c>
      <c r="I2" s="126" t="e">
        <f>I1+#REF!</f>
        <v>#REF!</v>
      </c>
      <c r="J2" s="129">
        <f>J1+O2</f>
        <v>46229</v>
      </c>
      <c r="K2" s="126">
        <f>K1+O2</f>
        <v>120</v>
      </c>
      <c r="N2" s="89" t="s">
        <v>12</v>
      </c>
      <c r="O2" s="108">
        <v>120</v>
      </c>
    </row>
    <row r="3" spans="3:16" x14ac:dyDescent="0.3">
      <c r="C3" s="64" t="s">
        <v>41</v>
      </c>
      <c r="D3" s="125" t="s">
        <v>56</v>
      </c>
      <c r="E3" s="126"/>
      <c r="N3" s="89" t="s">
        <v>15</v>
      </c>
      <c r="O3" s="108">
        <v>1.5</v>
      </c>
    </row>
    <row r="4" spans="3:16" x14ac:dyDescent="0.3">
      <c r="H4" s="130" t="s">
        <v>33</v>
      </c>
      <c r="I4" s="130"/>
      <c r="K4" s="64" t="s">
        <v>27</v>
      </c>
      <c r="L4" s="90">
        <f>I6</f>
        <v>405</v>
      </c>
      <c r="N4" s="89" t="s">
        <v>16</v>
      </c>
      <c r="O4" s="107">
        <f>O3*O2</f>
        <v>180</v>
      </c>
    </row>
    <row r="5" spans="3:16" x14ac:dyDescent="0.3">
      <c r="C5" s="130" t="s">
        <v>44</v>
      </c>
      <c r="D5" s="130"/>
      <c r="E5" s="130"/>
      <c r="H5" s="64" t="s">
        <v>48</v>
      </c>
      <c r="I5" s="91">
        <v>100</v>
      </c>
      <c r="K5" s="64" t="s">
        <v>28</v>
      </c>
      <c r="L5" s="90">
        <f>O5</f>
        <v>585</v>
      </c>
      <c r="N5" s="89" t="s">
        <v>17</v>
      </c>
      <c r="O5" s="107">
        <f>O1+O4</f>
        <v>585</v>
      </c>
    </row>
    <row r="6" spans="3:16" x14ac:dyDescent="0.3">
      <c r="C6" s="92" t="s">
        <v>0</v>
      </c>
      <c r="D6" s="92" t="s">
        <v>1</v>
      </c>
      <c r="E6" s="64" t="s">
        <v>5</v>
      </c>
      <c r="H6" s="64" t="s">
        <v>27</v>
      </c>
      <c r="I6" s="91">
        <v>405</v>
      </c>
      <c r="K6" s="64" t="s">
        <v>96</v>
      </c>
      <c r="L6" s="90">
        <f>(L5+L4)/2</f>
        <v>495</v>
      </c>
      <c r="N6" s="89" t="s">
        <v>18</v>
      </c>
      <c r="O6" s="109">
        <v>0.55000000000000004</v>
      </c>
      <c r="P6" s="93"/>
    </row>
    <row r="7" spans="3:16" x14ac:dyDescent="0.3">
      <c r="C7" s="92" t="s">
        <v>3</v>
      </c>
      <c r="D7" s="94">
        <v>0.75</v>
      </c>
      <c r="E7" s="95">
        <f>D16*D7</f>
        <v>0.5625</v>
      </c>
      <c r="F7" s="96"/>
      <c r="H7" s="64" t="s">
        <v>34</v>
      </c>
      <c r="I7" s="82">
        <v>385</v>
      </c>
      <c r="K7" s="64" t="s">
        <v>31</v>
      </c>
      <c r="L7" s="97">
        <v>2.1999999999999999E-2</v>
      </c>
      <c r="N7" s="89" t="s">
        <v>20</v>
      </c>
      <c r="O7" s="110">
        <v>360</v>
      </c>
      <c r="P7" s="93"/>
    </row>
    <row r="8" spans="3:16" x14ac:dyDescent="0.3">
      <c r="C8" s="92" t="s">
        <v>60</v>
      </c>
      <c r="D8" s="94">
        <v>0.03</v>
      </c>
      <c r="E8" s="95">
        <f>D17*D8</f>
        <v>0.13500000000000001</v>
      </c>
      <c r="F8" s="96"/>
      <c r="H8" s="64" t="s">
        <v>2</v>
      </c>
      <c r="I8" s="56">
        <f>I6/30*I7</f>
        <v>5197.5</v>
      </c>
      <c r="K8" s="64" t="s">
        <v>32</v>
      </c>
      <c r="L8" s="98">
        <f>L7*L6</f>
        <v>10.889999999999999</v>
      </c>
      <c r="N8" s="89" t="s">
        <v>97</v>
      </c>
      <c r="O8" s="111">
        <f>O6*O5/15</f>
        <v>21.45</v>
      </c>
      <c r="P8" s="93"/>
    </row>
    <row r="9" spans="3:16" x14ac:dyDescent="0.3">
      <c r="C9" s="92" t="s">
        <v>4</v>
      </c>
      <c r="D9" s="94">
        <v>0.17</v>
      </c>
      <c r="E9" s="95">
        <f>D18*D9</f>
        <v>0.1615</v>
      </c>
      <c r="F9" s="96"/>
      <c r="H9" s="130" t="s">
        <v>36</v>
      </c>
      <c r="I9" s="130"/>
      <c r="J9" s="99"/>
      <c r="K9" s="64" t="s">
        <v>30</v>
      </c>
      <c r="L9" s="56">
        <f>L8*D26/1000</f>
        <v>11.641409999999999</v>
      </c>
      <c r="M9" s="99"/>
      <c r="N9" s="89" t="s">
        <v>21</v>
      </c>
      <c r="O9" s="112">
        <f>O8*O7</f>
        <v>7722</v>
      </c>
      <c r="P9" s="93"/>
    </row>
    <row r="10" spans="3:16" x14ac:dyDescent="0.3">
      <c r="C10" s="92" t="s">
        <v>61</v>
      </c>
      <c r="D10" s="94">
        <v>0</v>
      </c>
      <c r="E10" s="95">
        <f>D20*D10</f>
        <v>0</v>
      </c>
      <c r="F10" s="96"/>
      <c r="H10" s="132">
        <v>100</v>
      </c>
      <c r="I10" s="133"/>
      <c r="N10" s="89" t="s">
        <v>22</v>
      </c>
      <c r="O10" s="112">
        <f>L9*O2</f>
        <v>1396.9691999999998</v>
      </c>
      <c r="P10" s="93"/>
    </row>
    <row r="11" spans="3:16" x14ac:dyDescent="0.3">
      <c r="C11" s="92" t="s">
        <v>58</v>
      </c>
      <c r="D11" s="94">
        <v>0.05</v>
      </c>
      <c r="E11" s="95">
        <f>D21*D11</f>
        <v>0.06</v>
      </c>
      <c r="F11" s="96"/>
      <c r="N11" s="89" t="s">
        <v>35</v>
      </c>
      <c r="O11" s="112">
        <f>O10+I8+H10</f>
        <v>6694.4691999999995</v>
      </c>
      <c r="P11" s="93"/>
    </row>
    <row r="12" spans="3:16" x14ac:dyDescent="0.3">
      <c r="C12" s="92" t="s">
        <v>2</v>
      </c>
      <c r="D12" s="100">
        <f>SUM(D7:D11)</f>
        <v>1</v>
      </c>
      <c r="E12" s="101">
        <f>SUM(E7:E11)</f>
        <v>0.91900000000000004</v>
      </c>
      <c r="F12" s="102"/>
      <c r="H12" s="125" t="s">
        <v>45</v>
      </c>
      <c r="I12" s="136"/>
      <c r="J12" s="136"/>
      <c r="K12" s="136"/>
      <c r="N12" s="89" t="s">
        <v>23</v>
      </c>
      <c r="O12" s="112">
        <f>O9-O11</f>
        <v>1027.5308000000005</v>
      </c>
      <c r="P12" s="93"/>
    </row>
    <row r="13" spans="3:16" x14ac:dyDescent="0.3">
      <c r="H13" s="64" t="s">
        <v>3</v>
      </c>
      <c r="I13" s="81">
        <f>L8*D7*O2*I5/1000</f>
        <v>98.009999999999991</v>
      </c>
      <c r="J13" s="56">
        <f>I13*D16*1000</f>
        <v>73507.5</v>
      </c>
      <c r="K13" s="80">
        <f>I13*1000/60</f>
        <v>1633.4999999999998</v>
      </c>
      <c r="N13" s="89" t="s">
        <v>24</v>
      </c>
      <c r="O13" s="113">
        <f>O12/O11</f>
        <v>0.15348951041555325</v>
      </c>
      <c r="P13" s="93"/>
    </row>
    <row r="14" spans="3:16" x14ac:dyDescent="0.3">
      <c r="C14" s="131" t="s">
        <v>6</v>
      </c>
      <c r="D14" s="131"/>
      <c r="E14" s="103"/>
      <c r="F14" s="103"/>
      <c r="H14" s="64" t="s">
        <v>46</v>
      </c>
      <c r="I14" s="81">
        <f>D8*L8*O2*I5/1000</f>
        <v>3.920399999999999</v>
      </c>
      <c r="J14" s="56">
        <f>I14*D17*1000</f>
        <v>17641.799999999996</v>
      </c>
      <c r="N14" s="89" t="s">
        <v>26</v>
      </c>
      <c r="O14" s="113">
        <f>O13/(O2/30.5)</f>
        <v>3.9011917230619787E-2</v>
      </c>
      <c r="P14" s="93"/>
    </row>
    <row r="15" spans="3:16" x14ac:dyDescent="0.3">
      <c r="C15" s="64" t="s">
        <v>101</v>
      </c>
      <c r="D15" s="82">
        <v>45</v>
      </c>
      <c r="H15" s="64" t="s">
        <v>47</v>
      </c>
      <c r="I15" s="81">
        <f>D9*I5*L8*O2/1000</f>
        <v>22.215599999999995</v>
      </c>
      <c r="J15" s="56">
        <f>I15*D18*1000</f>
        <v>21104.819999999992</v>
      </c>
      <c r="N15" s="89" t="s">
        <v>37</v>
      </c>
      <c r="O15" s="114">
        <f>O8-(O1/30)</f>
        <v>7.9499999999999993</v>
      </c>
      <c r="P15" s="93"/>
    </row>
    <row r="16" spans="3:16" x14ac:dyDescent="0.3">
      <c r="C16" s="64" t="s">
        <v>102</v>
      </c>
      <c r="D16" s="101">
        <f>D15/60</f>
        <v>0.75</v>
      </c>
      <c r="H16" s="64" t="s">
        <v>58</v>
      </c>
      <c r="I16" s="81">
        <f>I5*L8*D11*O2/1000</f>
        <v>6.533999999999998</v>
      </c>
      <c r="J16" s="56">
        <f>I16*D21*1000</f>
        <v>7840.7999999999975</v>
      </c>
      <c r="N16" s="89" t="s">
        <v>51</v>
      </c>
      <c r="O16" s="115">
        <f>O10/O15</f>
        <v>175.71939622641509</v>
      </c>
      <c r="P16" s="93"/>
    </row>
    <row r="17" spans="3:21" x14ac:dyDescent="0.3">
      <c r="C17" s="64" t="s">
        <v>60</v>
      </c>
      <c r="D17" s="82">
        <v>4.5</v>
      </c>
      <c r="H17" s="64" t="s">
        <v>61</v>
      </c>
      <c r="I17" s="81">
        <f>I5*L8*D10*O2/1000</f>
        <v>0</v>
      </c>
      <c r="J17" s="56">
        <f>I17*D20*1000</f>
        <v>0</v>
      </c>
      <c r="N17" s="89" t="s">
        <v>63</v>
      </c>
      <c r="O17" s="115">
        <f>O11/O8</f>
        <v>312.09646620046618</v>
      </c>
      <c r="P17" s="93"/>
    </row>
    <row r="18" spans="3:21" x14ac:dyDescent="0.3">
      <c r="C18" s="92" t="s">
        <v>4</v>
      </c>
      <c r="D18" s="82">
        <v>0.95</v>
      </c>
      <c r="H18" s="64" t="s">
        <v>0</v>
      </c>
      <c r="I18" s="56">
        <f>J13+J14+J15+J16+J17</f>
        <v>120094.91999999998</v>
      </c>
      <c r="N18" s="89" t="s">
        <v>64</v>
      </c>
      <c r="O18" s="82">
        <v>0.09</v>
      </c>
      <c r="P18" s="93"/>
    </row>
    <row r="19" spans="3:21" x14ac:dyDescent="0.3">
      <c r="C19" s="92" t="s">
        <v>103</v>
      </c>
      <c r="D19" s="101">
        <v>25</v>
      </c>
      <c r="H19" s="64" t="s">
        <v>93</v>
      </c>
      <c r="I19" s="56">
        <f>I6*I7*I5/30</f>
        <v>519750</v>
      </c>
      <c r="N19" s="89" t="s">
        <v>65</v>
      </c>
      <c r="O19" s="112">
        <f>(O17*O18)+O17</f>
        <v>340.18514815850813</v>
      </c>
      <c r="P19" s="93"/>
    </row>
    <row r="20" spans="3:21" x14ac:dyDescent="0.3">
      <c r="C20" s="92" t="s">
        <v>104</v>
      </c>
      <c r="D20" s="82">
        <f>D19/25</f>
        <v>1</v>
      </c>
      <c r="H20" s="64" t="s">
        <v>94</v>
      </c>
      <c r="I20" s="56">
        <f>H10*I5</f>
        <v>10000</v>
      </c>
      <c r="M20" s="74"/>
      <c r="N20" s="89" t="s">
        <v>92</v>
      </c>
      <c r="O20" s="116">
        <f>O7/(D16*60)</f>
        <v>8</v>
      </c>
      <c r="P20" s="93"/>
    </row>
    <row r="21" spans="3:21" x14ac:dyDescent="0.3">
      <c r="C21" s="92" t="s">
        <v>58</v>
      </c>
      <c r="D21" s="82">
        <v>1.2</v>
      </c>
      <c r="H21" s="64" t="s">
        <v>2</v>
      </c>
      <c r="I21" s="56">
        <f>SUM(I18:I20)</f>
        <v>649844.91999999993</v>
      </c>
      <c r="K21" s="86"/>
      <c r="M21" s="74"/>
      <c r="N21" s="64" t="s">
        <v>42</v>
      </c>
      <c r="O21" s="82">
        <v>5</v>
      </c>
      <c r="P21" s="93"/>
    </row>
    <row r="22" spans="3:21" x14ac:dyDescent="0.3">
      <c r="M22" s="74"/>
      <c r="N22" s="64" t="s">
        <v>43</v>
      </c>
      <c r="O22" s="117">
        <f>365/O2</f>
        <v>3.0416666666666665</v>
      </c>
      <c r="P22" s="93"/>
    </row>
    <row r="23" spans="3:21" x14ac:dyDescent="0.3">
      <c r="C23" s="125" t="s">
        <v>7</v>
      </c>
      <c r="D23" s="126"/>
      <c r="M23" s="74"/>
      <c r="N23" s="64" t="s">
        <v>54</v>
      </c>
      <c r="O23" s="118">
        <f>O15/O2*15</f>
        <v>0.9937499999999998</v>
      </c>
      <c r="P23" s="93"/>
    </row>
    <row r="24" spans="3:21" x14ac:dyDescent="0.3">
      <c r="C24" s="134">
        <v>0.15</v>
      </c>
      <c r="D24" s="135"/>
      <c r="M24" s="74"/>
      <c r="N24" s="64" t="s">
        <v>53</v>
      </c>
      <c r="O24" s="112">
        <f>O22*O21*O12</f>
        <v>15627.030916666672</v>
      </c>
      <c r="P24" s="86"/>
    </row>
    <row r="25" spans="3:21" x14ac:dyDescent="0.3">
      <c r="M25" s="74"/>
      <c r="N25" s="64" t="s">
        <v>99</v>
      </c>
      <c r="O25" s="121">
        <f>O3/L6</f>
        <v>3.0303030303030303E-3</v>
      </c>
    </row>
    <row r="26" spans="3:21" x14ac:dyDescent="0.3">
      <c r="C26" s="92" t="s">
        <v>95</v>
      </c>
      <c r="D26" s="104">
        <f>(E12+C24)*1000</f>
        <v>1069</v>
      </c>
      <c r="M26" s="74"/>
      <c r="N26" s="64" t="s">
        <v>100</v>
      </c>
      <c r="O26" s="121">
        <f>O23/L6</f>
        <v>2.0075757575757571E-3</v>
      </c>
    </row>
    <row r="27" spans="3:21" x14ac:dyDescent="0.3">
      <c r="M27" s="74"/>
    </row>
    <row r="30" spans="3:21" x14ac:dyDescent="0.3">
      <c r="O30" s="86"/>
    </row>
    <row r="32" spans="3:21" x14ac:dyDescent="0.3">
      <c r="R32" s="84"/>
      <c r="U32" s="85"/>
    </row>
    <row r="33" spans="4:24" x14ac:dyDescent="0.3">
      <c r="N33" s="86"/>
      <c r="P33" s="87"/>
      <c r="R33" s="84"/>
      <c r="U33" s="85"/>
      <c r="V33" s="86"/>
    </row>
    <row r="34" spans="4:24" x14ac:dyDescent="0.3">
      <c r="P34" s="87"/>
      <c r="R34" s="84"/>
      <c r="U34" s="85"/>
      <c r="W34" s="86"/>
      <c r="X34" s="86"/>
    </row>
    <row r="35" spans="4:24" x14ac:dyDescent="0.3">
      <c r="N35" s="105"/>
      <c r="R35" s="87"/>
      <c r="U35" s="85"/>
      <c r="X35" s="86"/>
    </row>
    <row r="36" spans="4:24" x14ac:dyDescent="0.3">
      <c r="N36" s="86"/>
      <c r="P36" s="87"/>
      <c r="U36" s="88"/>
    </row>
    <row r="37" spans="4:24" x14ac:dyDescent="0.3">
      <c r="T37" s="86"/>
    </row>
    <row r="42" spans="4:24" x14ac:dyDescent="0.3">
      <c r="D42" s="106"/>
    </row>
  </sheetData>
  <mergeCells count="15">
    <mergeCell ref="H4:I4"/>
    <mergeCell ref="H9:I9"/>
    <mergeCell ref="H10:I10"/>
    <mergeCell ref="C24:D24"/>
    <mergeCell ref="H12:K12"/>
    <mergeCell ref="D3:E3"/>
    <mergeCell ref="C5:E5"/>
    <mergeCell ref="C23:D23"/>
    <mergeCell ref="C14:D14"/>
    <mergeCell ref="D1:E1"/>
    <mergeCell ref="H1:I1"/>
    <mergeCell ref="J1:K1"/>
    <mergeCell ref="D2:E2"/>
    <mergeCell ref="H2:I2"/>
    <mergeCell ref="J2:K2"/>
  </mergeCells>
  <pageMargins left="0.511811024" right="0.511811024" top="0.78740157499999996" bottom="0.78740157499999996" header="0.31496062000000002" footer="0.31496062000000002"/>
  <pageSetup paperSize="9" scale="5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5:N22"/>
  <sheetViews>
    <sheetView showGridLines="0" workbookViewId="0">
      <selection activeCell="N18" sqref="N18"/>
    </sheetView>
  </sheetViews>
  <sheetFormatPr defaultRowHeight="14.4" x14ac:dyDescent="0.3"/>
  <cols>
    <col min="9" max="9" width="14.88671875" bestFit="1" customWidth="1"/>
    <col min="10" max="10" width="15.5546875" bestFit="1" customWidth="1"/>
    <col min="13" max="13" width="20.44140625" bestFit="1" customWidth="1"/>
    <col min="14" max="14" width="12.109375" bestFit="1" customWidth="1"/>
  </cols>
  <sheetData>
    <row r="5" spans="3:14" x14ac:dyDescent="0.3">
      <c r="J5" t="s">
        <v>33</v>
      </c>
      <c r="N5" t="s">
        <v>70</v>
      </c>
    </row>
    <row r="7" spans="3:14" x14ac:dyDescent="0.3">
      <c r="I7" t="s">
        <v>66</v>
      </c>
      <c r="J7">
        <v>79</v>
      </c>
      <c r="M7" t="s">
        <v>66</v>
      </c>
      <c r="N7">
        <f>J7</f>
        <v>79</v>
      </c>
    </row>
    <row r="8" spans="3:14" x14ac:dyDescent="0.3">
      <c r="C8">
        <v>369.47</v>
      </c>
      <c r="E8">
        <f>F8*G8</f>
        <v>15026.5</v>
      </c>
      <c r="F8">
        <v>366.5</v>
      </c>
      <c r="G8">
        <v>41</v>
      </c>
      <c r="I8" t="s">
        <v>67</v>
      </c>
      <c r="J8">
        <v>374.9</v>
      </c>
      <c r="M8" t="s">
        <v>71</v>
      </c>
      <c r="N8" s="60">
        <v>1.4999999999999999E-2</v>
      </c>
    </row>
    <row r="9" spans="3:14" x14ac:dyDescent="0.3">
      <c r="E9">
        <f>F9*G9</f>
        <v>14592</v>
      </c>
      <c r="F9">
        <v>384</v>
      </c>
      <c r="G9">
        <v>38</v>
      </c>
      <c r="I9" t="s">
        <v>68</v>
      </c>
      <c r="J9" s="59">
        <v>355</v>
      </c>
      <c r="M9" t="s">
        <v>73</v>
      </c>
      <c r="N9" s="61">
        <f>N8*J8</f>
        <v>5.6234999999999991</v>
      </c>
    </row>
    <row r="10" spans="3:14" x14ac:dyDescent="0.3">
      <c r="E10">
        <f>E9+E8</f>
        <v>29618.5</v>
      </c>
      <c r="I10" t="s">
        <v>21</v>
      </c>
      <c r="J10" s="59">
        <f>J8/30*J9</f>
        <v>4436.3166666666666</v>
      </c>
      <c r="M10" t="s">
        <v>72</v>
      </c>
      <c r="N10" s="61">
        <f>J8-N9</f>
        <v>369.2765</v>
      </c>
    </row>
    <row r="11" spans="3:14" x14ac:dyDescent="0.3">
      <c r="E11">
        <f>E10/79</f>
        <v>374.91772151898732</v>
      </c>
      <c r="I11" t="s">
        <v>69</v>
      </c>
      <c r="J11" s="59">
        <f>J10*J7</f>
        <v>350469.01666666666</v>
      </c>
      <c r="M11" t="s">
        <v>74</v>
      </c>
      <c r="N11" s="124">
        <f>N10/30</f>
        <v>12.309216666666666</v>
      </c>
    </row>
    <row r="12" spans="3:14" x14ac:dyDescent="0.3">
      <c r="M12" t="s">
        <v>37</v>
      </c>
      <c r="N12">
        <v>7</v>
      </c>
    </row>
    <row r="13" spans="3:14" x14ac:dyDescent="0.3">
      <c r="M13" t="s">
        <v>75</v>
      </c>
      <c r="N13" s="123">
        <f>N12+N11</f>
        <v>19.309216666666664</v>
      </c>
    </row>
    <row r="14" spans="3:14" x14ac:dyDescent="0.3">
      <c r="M14" t="s">
        <v>76</v>
      </c>
      <c r="N14" s="59">
        <v>240</v>
      </c>
    </row>
    <row r="15" spans="3:14" x14ac:dyDescent="0.3">
      <c r="M15" t="s">
        <v>22</v>
      </c>
      <c r="N15" s="62">
        <f>N14*N12</f>
        <v>1680</v>
      </c>
    </row>
    <row r="16" spans="3:14" x14ac:dyDescent="0.3">
      <c r="M16" t="s">
        <v>77</v>
      </c>
      <c r="N16">
        <v>100</v>
      </c>
    </row>
    <row r="17" spans="13:14" x14ac:dyDescent="0.3">
      <c r="M17" t="s">
        <v>78</v>
      </c>
      <c r="N17" s="62">
        <f>N15+J10</f>
        <v>6116.3166666666666</v>
      </c>
    </row>
    <row r="18" spans="13:14" x14ac:dyDescent="0.3">
      <c r="M18" t="s">
        <v>79</v>
      </c>
      <c r="N18" s="62">
        <f>N17/N13</f>
        <v>316.75633311553293</v>
      </c>
    </row>
    <row r="19" spans="13:14" x14ac:dyDescent="0.3">
      <c r="M19" t="s">
        <v>80</v>
      </c>
      <c r="N19" s="59">
        <v>326</v>
      </c>
    </row>
    <row r="20" spans="13:14" x14ac:dyDescent="0.3">
      <c r="M20" t="s">
        <v>81</v>
      </c>
      <c r="N20" s="62">
        <f>N19-N18</f>
        <v>9.2436668844670749</v>
      </c>
    </row>
    <row r="21" spans="13:14" x14ac:dyDescent="0.3">
      <c r="M21" t="s">
        <v>82</v>
      </c>
      <c r="N21" s="62">
        <f>N20*N13</f>
        <v>178.48796666666635</v>
      </c>
    </row>
    <row r="22" spans="13:14" x14ac:dyDescent="0.3">
      <c r="M22" t="s">
        <v>83</v>
      </c>
      <c r="N22" s="63">
        <f>N21/N17</f>
        <v>2.9182263835260278E-2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V41"/>
  <sheetViews>
    <sheetView showGridLines="0" topLeftCell="A4" zoomScale="55" zoomScaleNormal="55" workbookViewId="0">
      <selection activeCell="M17" sqref="M17"/>
    </sheetView>
  </sheetViews>
  <sheetFormatPr defaultColWidth="9.109375" defaultRowHeight="18" x14ac:dyDescent="0.35"/>
  <cols>
    <col min="1" max="2" width="9.109375" style="1"/>
    <col min="3" max="3" width="25.33203125" style="1" customWidth="1"/>
    <col min="4" max="4" width="17.33203125" style="1" customWidth="1"/>
    <col min="5" max="5" width="18.109375" style="1" customWidth="1"/>
    <col min="6" max="6" width="14.5546875" style="1" bestFit="1" customWidth="1"/>
    <col min="7" max="7" width="22.88671875" style="1" customWidth="1"/>
    <col min="8" max="8" width="16.88671875" style="1" customWidth="1"/>
    <col min="9" max="10" width="10" style="1" bestFit="1" customWidth="1"/>
    <col min="11" max="11" width="9.109375" style="1"/>
    <col min="12" max="12" width="45.109375" style="1" customWidth="1"/>
    <col min="13" max="13" width="24.33203125" style="1" bestFit="1" customWidth="1"/>
    <col min="14" max="14" width="17.88671875" style="1" customWidth="1"/>
    <col min="15" max="15" width="14" style="1" bestFit="1" customWidth="1"/>
    <col min="16" max="16" width="18.109375" style="1" bestFit="1" customWidth="1"/>
    <col min="17" max="17" width="9.109375" style="1"/>
    <col min="18" max="18" width="14.44140625" style="1" bestFit="1" customWidth="1"/>
    <col min="19" max="19" width="16.5546875" style="1" bestFit="1" customWidth="1"/>
    <col min="20" max="20" width="14.44140625" style="1" bestFit="1" customWidth="1"/>
    <col min="21" max="21" width="19.5546875" style="1" bestFit="1" customWidth="1"/>
    <col min="22" max="22" width="16.5546875" style="1" bestFit="1" customWidth="1"/>
    <col min="23" max="16384" width="9.109375" style="1"/>
  </cols>
  <sheetData>
    <row r="1" spans="3:16" x14ac:dyDescent="0.35">
      <c r="C1" s="3" t="s">
        <v>38</v>
      </c>
      <c r="D1" s="6" t="s">
        <v>55</v>
      </c>
      <c r="E1" s="6"/>
      <c r="F1" s="16"/>
      <c r="G1" s="16"/>
      <c r="H1" s="16"/>
    </row>
    <row r="2" spans="3:16" x14ac:dyDescent="0.35">
      <c r="C2" s="3" t="s">
        <v>39</v>
      </c>
      <c r="D2" s="6" t="s">
        <v>40</v>
      </c>
      <c r="E2" s="6"/>
      <c r="F2" s="16"/>
      <c r="G2" s="16"/>
      <c r="H2" s="16"/>
    </row>
    <row r="3" spans="3:16" x14ac:dyDescent="0.35">
      <c r="C3" s="3" t="s">
        <v>41</v>
      </c>
      <c r="D3" s="6" t="s">
        <v>56</v>
      </c>
      <c r="E3" s="6"/>
      <c r="F3" s="16"/>
      <c r="G3" s="16"/>
      <c r="H3" s="16"/>
    </row>
    <row r="5" spans="3:16" x14ac:dyDescent="0.35">
      <c r="C5" s="139" t="s">
        <v>44</v>
      </c>
      <c r="D5" s="139"/>
      <c r="E5" s="139"/>
      <c r="O5" s="1" t="s">
        <v>57</v>
      </c>
      <c r="P5" s="55">
        <v>45608</v>
      </c>
    </row>
    <row r="6" spans="3:16" x14ac:dyDescent="0.35">
      <c r="C6" s="34" t="s">
        <v>0</v>
      </c>
      <c r="D6" s="17" t="s">
        <v>1</v>
      </c>
      <c r="E6" s="18" t="s">
        <v>5</v>
      </c>
      <c r="G6" s="140" t="s">
        <v>7</v>
      </c>
      <c r="H6" s="141"/>
      <c r="L6" s="7" t="s">
        <v>10</v>
      </c>
      <c r="M6" s="30">
        <f>H16</f>
        <v>260</v>
      </c>
      <c r="N6" s="32"/>
      <c r="O6" s="1" t="s">
        <v>59</v>
      </c>
      <c r="P6" s="55">
        <f>P5+M7</f>
        <v>45818</v>
      </c>
    </row>
    <row r="7" spans="3:16" x14ac:dyDescent="0.35">
      <c r="C7" s="8" t="s">
        <v>3</v>
      </c>
      <c r="D7" s="11">
        <v>0.30499999999999999</v>
      </c>
      <c r="E7" s="22">
        <f>D15*D7</f>
        <v>0.26433333333333331</v>
      </c>
      <c r="G7" s="12">
        <v>0.15</v>
      </c>
      <c r="H7" s="3" t="s">
        <v>8</v>
      </c>
      <c r="L7" s="7" t="s">
        <v>12</v>
      </c>
      <c r="M7" s="31">
        <v>210</v>
      </c>
      <c r="N7" s="32"/>
    </row>
    <row r="8" spans="3:16" x14ac:dyDescent="0.35">
      <c r="C8" s="8" t="s">
        <v>98</v>
      </c>
      <c r="D8" s="11">
        <v>7.0000000000000007E-2</v>
      </c>
      <c r="E8" s="22">
        <f>D16*D8</f>
        <v>0.32900000000000007</v>
      </c>
      <c r="L8" s="7" t="s">
        <v>13</v>
      </c>
      <c r="M8" s="38">
        <f>H21</f>
        <v>0.85727958333333321</v>
      </c>
      <c r="N8" s="32"/>
    </row>
    <row r="9" spans="3:16" x14ac:dyDescent="0.35">
      <c r="C9" s="8" t="s">
        <v>61</v>
      </c>
      <c r="D9" s="11">
        <v>0.25</v>
      </c>
      <c r="E9" s="22">
        <f>D18*D9</f>
        <v>0.22500000000000001</v>
      </c>
      <c r="L9" s="7" t="s">
        <v>15</v>
      </c>
      <c r="M9" s="31">
        <v>0.65</v>
      </c>
      <c r="N9" s="32"/>
    </row>
    <row r="10" spans="3:16" x14ac:dyDescent="0.35">
      <c r="C10" s="8" t="s">
        <v>62</v>
      </c>
      <c r="D10" s="11">
        <v>7.4999999999999997E-2</v>
      </c>
      <c r="E10" s="22">
        <f>D19*D10</f>
        <v>6.7500000000000004E-2</v>
      </c>
      <c r="F10" s="24"/>
      <c r="G10" s="5"/>
      <c r="H10" s="5"/>
      <c r="I10" s="5"/>
      <c r="J10" s="5"/>
      <c r="K10" s="5"/>
      <c r="L10" s="7" t="s">
        <v>16</v>
      </c>
      <c r="M10" s="30">
        <f>M9*M7</f>
        <v>136.5</v>
      </c>
      <c r="N10" s="32"/>
    </row>
    <row r="11" spans="3:16" x14ac:dyDescent="0.35">
      <c r="C11" s="8" t="s">
        <v>58</v>
      </c>
      <c r="D11" s="11">
        <v>0.3</v>
      </c>
      <c r="E11" s="22">
        <f>D19*D11</f>
        <v>0.27</v>
      </c>
      <c r="L11" s="7" t="s">
        <v>17</v>
      </c>
      <c r="M11" s="30">
        <f>M6+M10</f>
        <v>396.5</v>
      </c>
      <c r="N11" s="32"/>
    </row>
    <row r="12" spans="3:16" x14ac:dyDescent="0.35">
      <c r="C12" s="9" t="s">
        <v>2</v>
      </c>
      <c r="D12" s="10">
        <f>SUM(D7:D11)</f>
        <v>1</v>
      </c>
      <c r="E12" s="23">
        <f>SUM(E7:E11)</f>
        <v>1.1558333333333333</v>
      </c>
      <c r="G12" s="142" t="s">
        <v>9</v>
      </c>
      <c r="H12" s="143"/>
      <c r="L12" s="7" t="s">
        <v>18</v>
      </c>
      <c r="M12" s="41">
        <v>0.5</v>
      </c>
      <c r="N12" s="32"/>
    </row>
    <row r="13" spans="3:16" x14ac:dyDescent="0.35">
      <c r="D13" s="4"/>
      <c r="G13" s="25">
        <f>E12+G7</f>
        <v>1.3058333333333332</v>
      </c>
      <c r="H13" s="35" t="s">
        <v>11</v>
      </c>
      <c r="L13" s="7" t="s">
        <v>20</v>
      </c>
      <c r="M13" s="42">
        <v>370</v>
      </c>
      <c r="N13" s="32"/>
    </row>
    <row r="14" spans="3:16" x14ac:dyDescent="0.35">
      <c r="C14" s="144" t="s">
        <v>6</v>
      </c>
      <c r="D14" s="144"/>
      <c r="E14" s="29"/>
      <c r="G14" s="25">
        <f>G13*1000</f>
        <v>1305.8333333333333</v>
      </c>
      <c r="H14" s="35" t="s">
        <v>52</v>
      </c>
      <c r="L14" s="7" t="s">
        <v>21</v>
      </c>
      <c r="M14" s="38">
        <f>M11*M12*M13/15</f>
        <v>4890.166666666667</v>
      </c>
      <c r="N14" s="32"/>
    </row>
    <row r="15" spans="3:16" x14ac:dyDescent="0.35">
      <c r="C15" s="2" t="s">
        <v>3</v>
      </c>
      <c r="D15" s="27">
        <f>52/60</f>
        <v>0.8666666666666667</v>
      </c>
      <c r="E15" s="24"/>
      <c r="L15" s="7" t="s">
        <v>22</v>
      </c>
      <c r="M15" s="38">
        <f>M8*M7</f>
        <v>180.02871249999998</v>
      </c>
      <c r="N15" s="32"/>
    </row>
    <row r="16" spans="3:16" x14ac:dyDescent="0.35">
      <c r="C16" s="2" t="s">
        <v>98</v>
      </c>
      <c r="D16" s="27">
        <v>4.7</v>
      </c>
      <c r="E16" s="24"/>
      <c r="G16" s="6" t="s">
        <v>27</v>
      </c>
      <c r="H16" s="2">
        <f>D22</f>
        <v>260</v>
      </c>
      <c r="I16" s="14" t="s">
        <v>11</v>
      </c>
      <c r="L16" s="7" t="s">
        <v>35</v>
      </c>
      <c r="M16" s="38">
        <f>M15+D24+C28</f>
        <v>4000.0287124999995</v>
      </c>
      <c r="N16" s="32"/>
    </row>
    <row r="17" spans="3:22" x14ac:dyDescent="0.35">
      <c r="C17" s="2" t="s">
        <v>62</v>
      </c>
      <c r="D17" s="27">
        <v>4</v>
      </c>
      <c r="E17" s="24"/>
      <c r="G17" s="6" t="s">
        <v>28</v>
      </c>
      <c r="H17" s="15">
        <f>M11</f>
        <v>396.5</v>
      </c>
      <c r="I17" s="14" t="s">
        <v>11</v>
      </c>
      <c r="L17" s="7" t="s">
        <v>23</v>
      </c>
      <c r="M17" s="38">
        <f>M14-M16</f>
        <v>890.13795416666744</v>
      </c>
      <c r="N17" s="32"/>
    </row>
    <row r="18" spans="3:22" x14ac:dyDescent="0.35">
      <c r="C18" s="8" t="s">
        <v>4</v>
      </c>
      <c r="D18" s="27">
        <v>0.9</v>
      </c>
      <c r="E18" s="24"/>
      <c r="G18" s="6" t="s">
        <v>29</v>
      </c>
      <c r="H18" s="2">
        <f>(H17+H16)/2</f>
        <v>328.25</v>
      </c>
      <c r="I18" s="14" t="s">
        <v>11</v>
      </c>
      <c r="L18" s="7" t="s">
        <v>24</v>
      </c>
      <c r="M18" s="39">
        <f>M17/M16</f>
        <v>0.22253289117275743</v>
      </c>
      <c r="N18" s="32"/>
    </row>
    <row r="19" spans="3:22" x14ac:dyDescent="0.35">
      <c r="C19" s="8" t="s">
        <v>58</v>
      </c>
      <c r="D19" s="27">
        <v>0.9</v>
      </c>
      <c r="G19" s="6" t="s">
        <v>31</v>
      </c>
      <c r="H19" s="119">
        <v>2E-3</v>
      </c>
      <c r="I19" s="14" t="s">
        <v>19</v>
      </c>
      <c r="L19" s="7" t="s">
        <v>25</v>
      </c>
      <c r="M19" s="30">
        <f>M11*M12/15</f>
        <v>13.216666666666667</v>
      </c>
      <c r="N19" s="32"/>
    </row>
    <row r="20" spans="3:22" x14ac:dyDescent="0.35">
      <c r="G20" s="6" t="s">
        <v>32</v>
      </c>
      <c r="H20" s="2">
        <f>H19*H18</f>
        <v>0.65649999999999997</v>
      </c>
      <c r="I20" s="14" t="s">
        <v>11</v>
      </c>
      <c r="L20" s="7" t="s">
        <v>26</v>
      </c>
      <c r="M20" s="39">
        <f>M18/(M7/30.5)</f>
        <v>3.2320253241757628E-2</v>
      </c>
      <c r="N20" s="32"/>
    </row>
    <row r="21" spans="3:22" x14ac:dyDescent="0.35">
      <c r="C21" s="145" t="s">
        <v>33</v>
      </c>
      <c r="D21" s="145"/>
      <c r="E21" s="24"/>
      <c r="G21" s="6" t="s">
        <v>30</v>
      </c>
      <c r="H21" s="25">
        <f>H20*G13</f>
        <v>0.85727958333333321</v>
      </c>
      <c r="I21" s="14" t="s">
        <v>14</v>
      </c>
      <c r="L21" s="7" t="s">
        <v>37</v>
      </c>
      <c r="M21" s="30">
        <f>M19-(M6/30)</f>
        <v>4.5500000000000007</v>
      </c>
      <c r="N21" s="32"/>
    </row>
    <row r="22" spans="3:22" x14ac:dyDescent="0.35">
      <c r="C22" s="2" t="s">
        <v>27</v>
      </c>
      <c r="D22" s="13">
        <v>260</v>
      </c>
      <c r="E22" s="24"/>
      <c r="L22" s="7" t="s">
        <v>51</v>
      </c>
      <c r="M22" s="40">
        <f>M15/M21</f>
        <v>39.566749999999992</v>
      </c>
      <c r="N22" s="32"/>
    </row>
    <row r="23" spans="3:22" x14ac:dyDescent="0.35">
      <c r="C23" s="2" t="s">
        <v>34</v>
      </c>
      <c r="D23" s="28">
        <v>435</v>
      </c>
      <c r="E23" s="24"/>
      <c r="H23" s="48"/>
      <c r="L23" s="3" t="s">
        <v>42</v>
      </c>
      <c r="M23" s="36">
        <v>3</v>
      </c>
      <c r="N23" s="32"/>
    </row>
    <row r="24" spans="3:22" x14ac:dyDescent="0.35">
      <c r="C24" s="2" t="s">
        <v>2</v>
      </c>
      <c r="D24" s="25">
        <f>D22/30*D23</f>
        <v>3769.9999999999995</v>
      </c>
      <c r="L24" s="3" t="s">
        <v>43</v>
      </c>
      <c r="M24" s="37">
        <f>365/M7</f>
        <v>1.7380952380952381</v>
      </c>
      <c r="N24" s="26"/>
    </row>
    <row r="25" spans="3:22" x14ac:dyDescent="0.35">
      <c r="L25" s="3" t="s">
        <v>54</v>
      </c>
      <c r="M25" s="46">
        <f>((M19-(D22/2/15))*15)/M7</f>
        <v>0.32500000000000007</v>
      </c>
      <c r="N25" s="26"/>
      <c r="O25" s="44"/>
    </row>
    <row r="26" spans="3:22" x14ac:dyDescent="0.35">
      <c r="L26" s="3" t="s">
        <v>53</v>
      </c>
      <c r="M26" s="47">
        <f>M24*M23*M17</f>
        <v>4641.433618154766</v>
      </c>
      <c r="N26" s="26"/>
    </row>
    <row r="27" spans="3:22" x14ac:dyDescent="0.35">
      <c r="C27" s="145" t="s">
        <v>36</v>
      </c>
      <c r="D27" s="145"/>
      <c r="L27" s="1" t="s">
        <v>85</v>
      </c>
      <c r="M27" s="66">
        <v>52</v>
      </c>
    </row>
    <row r="28" spans="3:22" x14ac:dyDescent="0.35">
      <c r="C28" s="137">
        <v>50</v>
      </c>
      <c r="D28" s="138"/>
      <c r="L28" s="1" t="s">
        <v>86</v>
      </c>
      <c r="M28" s="65">
        <f>M7/30.5</f>
        <v>6.8852459016393439</v>
      </c>
    </row>
    <row r="29" spans="3:22" x14ac:dyDescent="0.35">
      <c r="L29" s="1" t="s">
        <v>87</v>
      </c>
      <c r="M29" s="66">
        <f>M28*M27</f>
        <v>358.03278688524586</v>
      </c>
    </row>
    <row r="30" spans="3:22" x14ac:dyDescent="0.35">
      <c r="C30" s="3" t="s">
        <v>48</v>
      </c>
      <c r="D30" s="13">
        <v>1000</v>
      </c>
      <c r="L30" s="48" t="s">
        <v>88</v>
      </c>
      <c r="M30" s="48">
        <f>M29+M16</f>
        <v>4358.061499385245</v>
      </c>
      <c r="N30" s="48">
        <f>M30/356.5</f>
        <v>12.22457643586324</v>
      </c>
      <c r="O30" s="48">
        <f>N30*30</f>
        <v>366.73729307589718</v>
      </c>
    </row>
    <row r="31" spans="3:22" x14ac:dyDescent="0.35">
      <c r="L31" s="1" t="s">
        <v>89</v>
      </c>
      <c r="M31" s="48">
        <f>M14-M30</f>
        <v>532.10516728142193</v>
      </c>
      <c r="P31" s="49"/>
      <c r="Q31" s="49"/>
      <c r="R31" s="49"/>
      <c r="S31" s="49"/>
      <c r="T31" s="49"/>
      <c r="U31" s="49"/>
      <c r="V31" s="49"/>
    </row>
    <row r="32" spans="3:22" x14ac:dyDescent="0.35">
      <c r="L32" s="44" t="s">
        <v>90</v>
      </c>
      <c r="M32" s="67">
        <f>M31/M30</f>
        <v>0.12209675502662859</v>
      </c>
      <c r="O32" s="122">
        <v>0.14000000000000001</v>
      </c>
      <c r="P32" s="50"/>
      <c r="Q32" s="49"/>
      <c r="R32" s="49"/>
      <c r="S32" s="52"/>
      <c r="T32" s="49"/>
      <c r="U32" s="49"/>
      <c r="V32" s="49"/>
    </row>
    <row r="33" spans="3:22" x14ac:dyDescent="0.35">
      <c r="C33" s="130" t="s">
        <v>45</v>
      </c>
      <c r="D33" s="130"/>
      <c r="E33" s="130"/>
      <c r="F33" s="130"/>
      <c r="G33" s="130"/>
      <c r="L33" s="48" t="s">
        <v>91</v>
      </c>
      <c r="M33" s="68">
        <f>M32/M28</f>
        <v>1.7733100134819869E-2</v>
      </c>
      <c r="N33" s="45"/>
      <c r="O33" s="48">
        <f>O30*O32</f>
        <v>51.343221030625614</v>
      </c>
      <c r="P33" s="50"/>
      <c r="Q33" s="49"/>
      <c r="R33" s="49"/>
      <c r="S33" s="52"/>
      <c r="T33" s="54"/>
      <c r="U33" s="49"/>
      <c r="V33" s="49"/>
    </row>
    <row r="34" spans="3:22" x14ac:dyDescent="0.35">
      <c r="C34" s="2" t="s">
        <v>3</v>
      </c>
      <c r="D34" s="19">
        <f>H20*D7*M7*D30/1000</f>
        <v>42.048824999999994</v>
      </c>
      <c r="E34" s="2" t="s">
        <v>50</v>
      </c>
      <c r="F34" s="21">
        <f>D34/60*1000</f>
        <v>700.81374999999991</v>
      </c>
      <c r="G34" s="2" t="s">
        <v>49</v>
      </c>
      <c r="N34" s="45"/>
      <c r="O34" s="48">
        <f>O30+O33</f>
        <v>418.0805141065228</v>
      </c>
      <c r="P34" s="50"/>
      <c r="Q34" s="49"/>
      <c r="R34" s="49"/>
      <c r="S34" s="52"/>
      <c r="T34" s="49"/>
      <c r="U34" s="54"/>
      <c r="V34" s="54"/>
    </row>
    <row r="35" spans="3:22" x14ac:dyDescent="0.35">
      <c r="C35" s="2" t="s">
        <v>46</v>
      </c>
      <c r="D35" s="19">
        <f>D8*H20*M7*D30/1000</f>
        <v>9.6505500000000008</v>
      </c>
      <c r="E35" s="20" t="s">
        <v>50</v>
      </c>
      <c r="P35" s="51"/>
      <c r="Q35" s="49"/>
      <c r="R35" s="49"/>
      <c r="S35" s="52"/>
      <c r="T35" s="49"/>
      <c r="U35" s="49"/>
      <c r="V35" s="54"/>
    </row>
    <row r="36" spans="3:22" x14ac:dyDescent="0.35">
      <c r="C36" s="2" t="s">
        <v>61</v>
      </c>
      <c r="D36" s="19">
        <f>D9*D30*H20*M7/1000</f>
        <v>34.466250000000002</v>
      </c>
      <c r="E36" s="2" t="s">
        <v>50</v>
      </c>
      <c r="N36" s="45"/>
      <c r="P36" s="49"/>
      <c r="Q36" s="49"/>
      <c r="R36" s="49"/>
      <c r="S36" s="53"/>
      <c r="T36" s="49"/>
      <c r="U36" s="49"/>
      <c r="V36" s="49"/>
    </row>
    <row r="37" spans="3:22" x14ac:dyDescent="0.35">
      <c r="C37" s="2" t="s">
        <v>62</v>
      </c>
      <c r="D37" s="19">
        <f>D30*D10*H20*M7/1000</f>
        <v>10.339874999999999</v>
      </c>
      <c r="E37" s="2" t="s">
        <v>50</v>
      </c>
      <c r="R37" s="48"/>
    </row>
    <row r="38" spans="3:22" x14ac:dyDescent="0.35">
      <c r="C38" s="2" t="s">
        <v>58</v>
      </c>
      <c r="D38" s="19">
        <f>D30*H20*D11*M7/1000</f>
        <v>41.359499999999997</v>
      </c>
      <c r="E38" s="2" t="s">
        <v>50</v>
      </c>
    </row>
    <row r="39" spans="3:22" x14ac:dyDescent="0.35">
      <c r="D39" s="43"/>
      <c r="E39" s="43"/>
    </row>
    <row r="41" spans="3:22" x14ac:dyDescent="0.35">
      <c r="D41" s="43"/>
    </row>
  </sheetData>
  <mergeCells count="8">
    <mergeCell ref="C28:D28"/>
    <mergeCell ref="C33:G33"/>
    <mergeCell ref="C5:E5"/>
    <mergeCell ref="G6:H6"/>
    <mergeCell ref="G12:H12"/>
    <mergeCell ref="C14:D14"/>
    <mergeCell ref="C21:D21"/>
    <mergeCell ref="C27:D27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V41"/>
  <sheetViews>
    <sheetView showGridLines="0" topLeftCell="F4" workbookViewId="0">
      <selection activeCell="M10" sqref="M10"/>
    </sheetView>
  </sheetViews>
  <sheetFormatPr defaultColWidth="9.109375" defaultRowHeight="18" x14ac:dyDescent="0.35"/>
  <cols>
    <col min="1" max="2" width="9.109375" style="1"/>
    <col min="3" max="3" width="25.33203125" style="1" customWidth="1"/>
    <col min="4" max="4" width="17.33203125" style="1" customWidth="1"/>
    <col min="5" max="5" width="18.109375" style="1" customWidth="1"/>
    <col min="6" max="6" width="14.5546875" style="1" bestFit="1" customWidth="1"/>
    <col min="7" max="7" width="22.88671875" style="1" customWidth="1"/>
    <col min="8" max="8" width="16.88671875" style="1" customWidth="1"/>
    <col min="9" max="10" width="10" style="1" bestFit="1" customWidth="1"/>
    <col min="11" max="11" width="9.109375" style="1"/>
    <col min="12" max="12" width="45.109375" style="1" customWidth="1"/>
    <col min="13" max="13" width="22" style="1" customWidth="1"/>
    <col min="14" max="14" width="17.88671875" style="1" customWidth="1"/>
    <col min="15" max="15" width="12.5546875" style="1" bestFit="1" customWidth="1"/>
    <col min="16" max="16" width="18.109375" style="1" bestFit="1" customWidth="1"/>
    <col min="17" max="17" width="9.109375" style="1"/>
    <col min="18" max="18" width="14.44140625" style="1" bestFit="1" customWidth="1"/>
    <col min="19" max="19" width="16.5546875" style="1" bestFit="1" customWidth="1"/>
    <col min="20" max="20" width="14.44140625" style="1" bestFit="1" customWidth="1"/>
    <col min="21" max="21" width="19.5546875" style="1" bestFit="1" customWidth="1"/>
    <col min="22" max="22" width="16.5546875" style="1" bestFit="1" customWidth="1"/>
    <col min="23" max="16384" width="9.109375" style="1"/>
  </cols>
  <sheetData>
    <row r="1" spans="3:16" x14ac:dyDescent="0.35">
      <c r="C1" s="3" t="s">
        <v>38</v>
      </c>
      <c r="D1" s="6" t="s">
        <v>55</v>
      </c>
      <c r="E1" s="6"/>
      <c r="F1" s="16"/>
      <c r="G1" s="16"/>
      <c r="H1" s="16"/>
    </row>
    <row r="2" spans="3:16" x14ac:dyDescent="0.35">
      <c r="C2" s="3" t="s">
        <v>39</v>
      </c>
      <c r="D2" s="6" t="s">
        <v>40</v>
      </c>
      <c r="E2" s="6"/>
      <c r="F2" s="16"/>
      <c r="G2" s="16"/>
      <c r="H2" s="16"/>
    </row>
    <row r="3" spans="3:16" x14ac:dyDescent="0.35">
      <c r="C3" s="3" t="s">
        <v>41</v>
      </c>
      <c r="D3" s="6" t="s">
        <v>56</v>
      </c>
      <c r="E3" s="6"/>
      <c r="F3" s="16"/>
      <c r="G3" s="16"/>
      <c r="H3" s="16"/>
    </row>
    <row r="5" spans="3:16" x14ac:dyDescent="0.35">
      <c r="C5" s="139" t="s">
        <v>44</v>
      </c>
      <c r="D5" s="139"/>
      <c r="E5" s="139"/>
      <c r="O5" s="1" t="s">
        <v>57</v>
      </c>
      <c r="P5" s="55">
        <v>45479</v>
      </c>
    </row>
    <row r="6" spans="3:16" x14ac:dyDescent="0.35">
      <c r="C6" s="34" t="s">
        <v>0</v>
      </c>
      <c r="D6" s="17" t="s">
        <v>1</v>
      </c>
      <c r="E6" s="18" t="s">
        <v>5</v>
      </c>
      <c r="G6" s="140" t="s">
        <v>7</v>
      </c>
      <c r="H6" s="141"/>
      <c r="L6" s="7" t="s">
        <v>10</v>
      </c>
      <c r="M6" s="30">
        <f>H16</f>
        <v>240</v>
      </c>
      <c r="N6" s="32"/>
      <c r="O6" s="1" t="s">
        <v>59</v>
      </c>
      <c r="P6" s="55">
        <f>P5+M7</f>
        <v>45579</v>
      </c>
    </row>
    <row r="7" spans="3:16" x14ac:dyDescent="0.35">
      <c r="C7" s="8" t="s">
        <v>3</v>
      </c>
      <c r="D7" s="11">
        <v>0.25</v>
      </c>
      <c r="E7" s="22">
        <f>D15*D7</f>
        <v>0.17083333333333334</v>
      </c>
      <c r="G7" s="12">
        <v>0.8</v>
      </c>
      <c r="H7" s="3" t="s">
        <v>8</v>
      </c>
      <c r="L7" s="7" t="s">
        <v>12</v>
      </c>
      <c r="M7" s="31">
        <v>100</v>
      </c>
      <c r="N7" s="32"/>
    </row>
    <row r="8" spans="3:16" x14ac:dyDescent="0.35">
      <c r="C8" s="8" t="s">
        <v>84</v>
      </c>
      <c r="D8" s="11">
        <v>0.105</v>
      </c>
      <c r="E8" s="22">
        <f>D16*D8</f>
        <v>0.47249999999999998</v>
      </c>
      <c r="L8" s="7" t="s">
        <v>13</v>
      </c>
      <c r="M8" s="38">
        <f>H21</f>
        <v>0.56730266666666662</v>
      </c>
      <c r="N8" s="32"/>
    </row>
    <row r="9" spans="3:16" x14ac:dyDescent="0.35">
      <c r="C9" s="8" t="s">
        <v>61</v>
      </c>
      <c r="D9" s="11">
        <v>0.27</v>
      </c>
      <c r="E9" s="22">
        <f>D18*D9</f>
        <v>0.18360000000000001</v>
      </c>
      <c r="L9" s="7" t="s">
        <v>15</v>
      </c>
      <c r="M9" s="31">
        <v>0.4</v>
      </c>
      <c r="N9" s="120">
        <f>M9/H18</f>
        <v>1.5384615384615385E-3</v>
      </c>
    </row>
    <row r="10" spans="3:16" x14ac:dyDescent="0.35">
      <c r="C10" s="8" t="s">
        <v>62</v>
      </c>
      <c r="D10" s="11">
        <v>7.4999999999999997E-2</v>
      </c>
      <c r="E10" s="22">
        <f>D10*D17</f>
        <v>0.19500000000000001</v>
      </c>
      <c r="F10" s="24"/>
      <c r="G10" s="5"/>
      <c r="H10" s="5"/>
      <c r="I10" s="5"/>
      <c r="J10" s="5"/>
      <c r="K10" s="5"/>
      <c r="L10" s="7" t="s">
        <v>16</v>
      </c>
      <c r="M10" s="30">
        <f>M9*M7</f>
        <v>40</v>
      </c>
      <c r="N10" s="32"/>
    </row>
    <row r="11" spans="3:16" x14ac:dyDescent="0.35">
      <c r="C11" s="8" t="s">
        <v>58</v>
      </c>
      <c r="D11" s="11">
        <v>0.3</v>
      </c>
      <c r="E11" s="22">
        <f>D19*D11</f>
        <v>0.36</v>
      </c>
      <c r="L11" s="7" t="s">
        <v>17</v>
      </c>
      <c r="M11" s="30">
        <f>M6+M10</f>
        <v>280</v>
      </c>
      <c r="N11" s="32"/>
    </row>
    <row r="12" spans="3:16" x14ac:dyDescent="0.35">
      <c r="C12" s="9" t="s">
        <v>2</v>
      </c>
      <c r="D12" s="10">
        <f>SUM(D7:D11)</f>
        <v>1</v>
      </c>
      <c r="E12" s="23">
        <f>SUM(E7:E11)</f>
        <v>1.3819333333333335</v>
      </c>
      <c r="G12" s="142" t="s">
        <v>9</v>
      </c>
      <c r="H12" s="143"/>
      <c r="L12" s="7" t="s">
        <v>18</v>
      </c>
      <c r="M12" s="41">
        <v>0.5</v>
      </c>
      <c r="N12" s="32"/>
    </row>
    <row r="13" spans="3:16" x14ac:dyDescent="0.35">
      <c r="D13" s="4"/>
      <c r="G13" s="25">
        <f>E12+G7</f>
        <v>2.1819333333333333</v>
      </c>
      <c r="H13" s="35" t="s">
        <v>11</v>
      </c>
      <c r="L13" s="7" t="s">
        <v>20</v>
      </c>
      <c r="M13" s="42">
        <v>270</v>
      </c>
      <c r="N13" s="32"/>
    </row>
    <row r="14" spans="3:16" x14ac:dyDescent="0.35">
      <c r="C14" s="144" t="s">
        <v>6</v>
      </c>
      <c r="D14" s="144"/>
      <c r="E14" s="29"/>
      <c r="G14" s="25">
        <f>G13*1000</f>
        <v>2181.9333333333334</v>
      </c>
      <c r="H14" s="35" t="s">
        <v>52</v>
      </c>
      <c r="L14" s="7" t="s">
        <v>21</v>
      </c>
      <c r="M14" s="38">
        <f>M11*M12*M13/15</f>
        <v>2520</v>
      </c>
      <c r="N14" s="32"/>
    </row>
    <row r="15" spans="3:16" x14ac:dyDescent="0.35">
      <c r="C15" s="2" t="s">
        <v>3</v>
      </c>
      <c r="D15" s="27">
        <f>41/60</f>
        <v>0.68333333333333335</v>
      </c>
      <c r="E15" s="24"/>
      <c r="L15" s="7" t="s">
        <v>22</v>
      </c>
      <c r="M15" s="38">
        <f>M8*M7</f>
        <v>56.730266666666665</v>
      </c>
      <c r="N15" s="32"/>
    </row>
    <row r="16" spans="3:16" x14ac:dyDescent="0.35">
      <c r="C16" s="8" t="s">
        <v>84</v>
      </c>
      <c r="D16" s="27">
        <v>4.5</v>
      </c>
      <c r="E16" s="24"/>
      <c r="G16" s="6" t="s">
        <v>27</v>
      </c>
      <c r="H16" s="2">
        <f>D22</f>
        <v>240</v>
      </c>
      <c r="I16" s="14" t="s">
        <v>11</v>
      </c>
      <c r="L16" s="7" t="s">
        <v>35</v>
      </c>
      <c r="M16" s="38">
        <f>M15+D24+C28</f>
        <v>2336.7302666666665</v>
      </c>
      <c r="N16" s="32"/>
    </row>
    <row r="17" spans="3:22" x14ac:dyDescent="0.35">
      <c r="C17" s="2" t="s">
        <v>62</v>
      </c>
      <c r="D17" s="27">
        <v>2.6</v>
      </c>
      <c r="E17" s="24"/>
      <c r="G17" s="6" t="s">
        <v>28</v>
      </c>
      <c r="H17" s="15">
        <f>M11</f>
        <v>280</v>
      </c>
      <c r="I17" s="14" t="s">
        <v>11</v>
      </c>
      <c r="L17" s="7" t="s">
        <v>23</v>
      </c>
      <c r="M17" s="38">
        <f>M14-M16</f>
        <v>183.26973333333353</v>
      </c>
      <c r="N17" s="32"/>
    </row>
    <row r="18" spans="3:22" x14ac:dyDescent="0.35">
      <c r="C18" s="8" t="s">
        <v>61</v>
      </c>
      <c r="D18" s="27">
        <f>17/25</f>
        <v>0.68</v>
      </c>
      <c r="E18" s="24"/>
      <c r="G18" s="6" t="s">
        <v>29</v>
      </c>
      <c r="H18" s="2">
        <f>(H17+H16)/2</f>
        <v>260</v>
      </c>
      <c r="I18" s="14" t="s">
        <v>11</v>
      </c>
      <c r="L18" s="7" t="s">
        <v>24</v>
      </c>
      <c r="M18" s="39">
        <f>M17/M16</f>
        <v>7.8429990807097671E-2</v>
      </c>
      <c r="N18" s="32"/>
    </row>
    <row r="19" spans="3:22" x14ac:dyDescent="0.35">
      <c r="C19" s="8" t="s">
        <v>58</v>
      </c>
      <c r="D19" s="27">
        <v>1.2</v>
      </c>
      <c r="G19" s="6" t="s">
        <v>31</v>
      </c>
      <c r="H19" s="33">
        <v>1E-3</v>
      </c>
      <c r="I19" s="14" t="s">
        <v>19</v>
      </c>
      <c r="L19" s="7" t="s">
        <v>25</v>
      </c>
      <c r="M19" s="30">
        <f>M11*M12/15</f>
        <v>9.3333333333333339</v>
      </c>
      <c r="N19" s="32"/>
    </row>
    <row r="20" spans="3:22" x14ac:dyDescent="0.35">
      <c r="G20" s="6" t="s">
        <v>32</v>
      </c>
      <c r="H20" s="2">
        <f>H19*H18</f>
        <v>0.26</v>
      </c>
      <c r="I20" s="14" t="s">
        <v>11</v>
      </c>
      <c r="L20" s="7" t="s">
        <v>26</v>
      </c>
      <c r="M20" s="39">
        <f>M18/(M7/30.5)</f>
        <v>2.392114719616479E-2</v>
      </c>
      <c r="N20" s="32"/>
    </row>
    <row r="21" spans="3:22" x14ac:dyDescent="0.35">
      <c r="C21" s="145" t="s">
        <v>33</v>
      </c>
      <c r="D21" s="145"/>
      <c r="E21" s="24"/>
      <c r="G21" s="6" t="s">
        <v>30</v>
      </c>
      <c r="H21" s="25">
        <f>H20*G13</f>
        <v>0.56730266666666662</v>
      </c>
      <c r="I21" s="14" t="s">
        <v>14</v>
      </c>
      <c r="L21" s="7" t="s">
        <v>37</v>
      </c>
      <c r="M21" s="30">
        <f>M19-(M6/30)</f>
        <v>1.3333333333333339</v>
      </c>
      <c r="N21" s="32"/>
    </row>
    <row r="22" spans="3:22" x14ac:dyDescent="0.35">
      <c r="C22" s="2" t="s">
        <v>27</v>
      </c>
      <c r="D22" s="13">
        <v>240</v>
      </c>
      <c r="E22" s="24"/>
      <c r="L22" s="7" t="s">
        <v>51</v>
      </c>
      <c r="M22" s="40">
        <f>M15/M21</f>
        <v>42.547699999999978</v>
      </c>
      <c r="N22" s="32"/>
    </row>
    <row r="23" spans="3:22" x14ac:dyDescent="0.35">
      <c r="C23" s="2" t="s">
        <v>34</v>
      </c>
      <c r="D23" s="28">
        <v>270</v>
      </c>
      <c r="E23" s="24"/>
      <c r="H23" s="48"/>
      <c r="L23" s="3" t="s">
        <v>42</v>
      </c>
      <c r="M23" s="36">
        <v>10</v>
      </c>
      <c r="N23" s="32"/>
    </row>
    <row r="24" spans="3:22" x14ac:dyDescent="0.35">
      <c r="C24" s="2" t="s">
        <v>2</v>
      </c>
      <c r="D24" s="25">
        <f>D22/30*D23</f>
        <v>2160</v>
      </c>
      <c r="L24" s="3" t="s">
        <v>43</v>
      </c>
      <c r="M24" s="37">
        <f>365/M7</f>
        <v>3.65</v>
      </c>
      <c r="N24" s="26"/>
    </row>
    <row r="25" spans="3:22" x14ac:dyDescent="0.35">
      <c r="L25" s="3" t="s">
        <v>54</v>
      </c>
      <c r="M25" s="46">
        <f>((M19-(D22/2/15))*15)/M7</f>
        <v>0.20000000000000007</v>
      </c>
      <c r="N25" s="26"/>
      <c r="O25" s="44"/>
    </row>
    <row r="26" spans="3:22" x14ac:dyDescent="0.35">
      <c r="L26" s="3" t="s">
        <v>53</v>
      </c>
      <c r="M26" s="47">
        <f>M24*M23*M17</f>
        <v>6689.3452666666744</v>
      </c>
      <c r="N26" s="26"/>
    </row>
    <row r="27" spans="3:22" x14ac:dyDescent="0.35">
      <c r="C27" s="145" t="s">
        <v>36</v>
      </c>
      <c r="D27" s="145"/>
    </row>
    <row r="28" spans="3:22" x14ac:dyDescent="0.35">
      <c r="C28" s="137">
        <v>120</v>
      </c>
      <c r="D28" s="138"/>
    </row>
    <row r="30" spans="3:22" x14ac:dyDescent="0.35">
      <c r="C30" s="3" t="s">
        <v>48</v>
      </c>
      <c r="D30" s="13">
        <v>400</v>
      </c>
      <c r="L30" s="48"/>
    </row>
    <row r="31" spans="3:22" x14ac:dyDescent="0.35">
      <c r="P31" s="49"/>
      <c r="Q31" s="49"/>
      <c r="R31" s="49"/>
      <c r="S31" s="49"/>
      <c r="T31" s="49"/>
      <c r="U31" s="49"/>
      <c r="V31" s="49"/>
    </row>
    <row r="32" spans="3:22" x14ac:dyDescent="0.35">
      <c r="L32" s="44"/>
      <c r="P32" s="50"/>
      <c r="Q32" s="49"/>
      <c r="R32" s="49"/>
      <c r="S32" s="52"/>
      <c r="T32" s="49"/>
      <c r="U32" s="49"/>
      <c r="V32" s="49"/>
    </row>
    <row r="33" spans="3:22" x14ac:dyDescent="0.35">
      <c r="C33" s="130" t="s">
        <v>45</v>
      </c>
      <c r="D33" s="130"/>
      <c r="E33" s="130"/>
      <c r="F33" s="130"/>
      <c r="G33" s="130"/>
      <c r="L33" s="48"/>
      <c r="N33" s="45"/>
      <c r="P33" s="50"/>
      <c r="Q33" s="49"/>
      <c r="R33" s="49"/>
      <c r="S33" s="52"/>
      <c r="T33" s="54"/>
      <c r="U33" s="49"/>
      <c r="V33" s="49"/>
    </row>
    <row r="34" spans="3:22" x14ac:dyDescent="0.35">
      <c r="C34" s="2" t="s">
        <v>3</v>
      </c>
      <c r="D34" s="19">
        <f>H20*D7*M7*D30/1000</f>
        <v>2.6</v>
      </c>
      <c r="E34" s="2" t="s">
        <v>50</v>
      </c>
      <c r="F34" s="21">
        <f>D34/60*1000</f>
        <v>43.333333333333336</v>
      </c>
      <c r="G34" s="2" t="s">
        <v>49</v>
      </c>
      <c r="N34" s="45"/>
      <c r="P34" s="50"/>
      <c r="Q34" s="49"/>
      <c r="R34" s="49"/>
      <c r="S34" s="52"/>
      <c r="T34" s="49"/>
      <c r="U34" s="54"/>
      <c r="V34" s="54"/>
    </row>
    <row r="35" spans="3:22" x14ac:dyDescent="0.35">
      <c r="C35" s="2" t="s">
        <v>46</v>
      </c>
      <c r="D35" s="19">
        <f>D8*H20*M7*D30/1000</f>
        <v>1.0920000000000001</v>
      </c>
      <c r="E35" s="20" t="s">
        <v>50</v>
      </c>
      <c r="P35" s="51"/>
      <c r="Q35" s="49"/>
      <c r="R35" s="49"/>
      <c r="S35" s="52"/>
      <c r="T35" s="49"/>
      <c r="U35" s="49"/>
      <c r="V35" s="54"/>
    </row>
    <row r="36" spans="3:22" x14ac:dyDescent="0.35">
      <c r="C36" s="2" t="s">
        <v>61</v>
      </c>
      <c r="D36" s="19">
        <f>D9*D30*H20*M7/1000</f>
        <v>2.8079999999999998</v>
      </c>
      <c r="E36" s="2" t="s">
        <v>50</v>
      </c>
      <c r="N36" s="45"/>
      <c r="P36" s="49"/>
      <c r="Q36" s="49"/>
      <c r="R36" s="49"/>
      <c r="S36" s="53"/>
      <c r="T36" s="49"/>
      <c r="U36" s="49"/>
      <c r="V36" s="49"/>
    </row>
    <row r="37" spans="3:22" x14ac:dyDescent="0.35">
      <c r="C37" s="2" t="s">
        <v>62</v>
      </c>
      <c r="D37" s="19">
        <f>D30*D10*H20*M7/1000</f>
        <v>0.78000000000000014</v>
      </c>
      <c r="E37" s="2" t="s">
        <v>50</v>
      </c>
      <c r="R37" s="48"/>
    </row>
    <row r="38" spans="3:22" x14ac:dyDescent="0.35">
      <c r="C38" s="2" t="s">
        <v>58</v>
      </c>
      <c r="D38" s="19">
        <f>D30*H20*D11*M7/1000</f>
        <v>3.12</v>
      </c>
      <c r="E38" s="2" t="s">
        <v>50</v>
      </c>
    </row>
    <row r="39" spans="3:22" x14ac:dyDescent="0.35">
      <c r="D39" s="43"/>
      <c r="E39" s="43"/>
    </row>
    <row r="41" spans="3:22" x14ac:dyDescent="0.35">
      <c r="D41" s="43"/>
    </row>
  </sheetData>
  <mergeCells count="8">
    <mergeCell ref="C28:D28"/>
    <mergeCell ref="C33:G33"/>
    <mergeCell ref="C5:E5"/>
    <mergeCell ref="G6:H6"/>
    <mergeCell ref="G12:H12"/>
    <mergeCell ref="C14:D14"/>
    <mergeCell ref="C21:D21"/>
    <mergeCell ref="C27:D27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X40"/>
  <sheetViews>
    <sheetView showGridLines="0" zoomScale="70" zoomScaleNormal="70" workbookViewId="0">
      <selection sqref="A1:XFD1048576"/>
    </sheetView>
  </sheetViews>
  <sheetFormatPr defaultColWidth="9.109375" defaultRowHeight="18" x14ac:dyDescent="0.35"/>
  <cols>
    <col min="1" max="2" width="9.109375" style="1"/>
    <col min="3" max="3" width="25.33203125" style="1" customWidth="1"/>
    <col min="4" max="4" width="19.44140625" style="1" customWidth="1"/>
    <col min="5" max="5" width="13.6640625" style="1" bestFit="1" customWidth="1"/>
    <col min="6" max="6" width="4.88671875" style="1" customWidth="1"/>
    <col min="7" max="7" width="10.33203125" style="1" bestFit="1" customWidth="1"/>
    <col min="8" max="8" width="18.109375" style="1" bestFit="1" customWidth="1"/>
    <col min="9" max="9" width="16.6640625" style="1" bestFit="1" customWidth="1"/>
    <col min="10" max="10" width="5" style="1" bestFit="1" customWidth="1"/>
    <col min="11" max="11" width="14.88671875" style="1" bestFit="1" customWidth="1"/>
    <col min="12" max="12" width="20" style="1" bestFit="1" customWidth="1"/>
    <col min="13" max="13" width="4.88671875" style="1" customWidth="1"/>
    <col min="14" max="14" width="41.33203125" style="1" bestFit="1" customWidth="1"/>
    <col min="15" max="15" width="16.6640625" style="1" bestFit="1" customWidth="1"/>
    <col min="16" max="16" width="17.88671875" style="1" customWidth="1"/>
    <col min="17" max="17" width="41.33203125" style="1" bestFit="1" customWidth="1"/>
    <col min="18" max="18" width="18.109375" style="1" bestFit="1" customWidth="1"/>
    <col min="19" max="19" width="9.109375" style="1"/>
    <col min="20" max="20" width="14.44140625" style="1" bestFit="1" customWidth="1"/>
    <col min="21" max="21" width="16.5546875" style="1" bestFit="1" customWidth="1"/>
    <col min="22" max="22" width="14.44140625" style="1" bestFit="1" customWidth="1"/>
    <col min="23" max="23" width="19.5546875" style="1" bestFit="1" customWidth="1"/>
    <col min="24" max="24" width="16.5546875" style="1" bestFit="1" customWidth="1"/>
    <col min="25" max="16384" width="9.109375" style="1"/>
  </cols>
  <sheetData>
    <row r="1" spans="3:16" x14ac:dyDescent="0.35">
      <c r="C1" s="3" t="s">
        <v>38</v>
      </c>
      <c r="D1" s="140" t="s">
        <v>55</v>
      </c>
      <c r="E1" s="141"/>
      <c r="F1" s="70"/>
      <c r="G1" s="16"/>
      <c r="H1" s="142" t="s">
        <v>57</v>
      </c>
      <c r="I1" s="143">
        <v>44760</v>
      </c>
      <c r="J1" s="147">
        <v>44844</v>
      </c>
      <c r="K1" s="148"/>
      <c r="N1" s="77" t="s">
        <v>10</v>
      </c>
      <c r="O1" s="30">
        <f>I12</f>
        <v>320</v>
      </c>
    </row>
    <row r="2" spans="3:16" x14ac:dyDescent="0.35">
      <c r="C2" s="3" t="s">
        <v>39</v>
      </c>
      <c r="D2" s="140" t="s">
        <v>40</v>
      </c>
      <c r="E2" s="141"/>
      <c r="F2" s="70"/>
      <c r="G2" s="16"/>
      <c r="H2" s="142" t="s">
        <v>59</v>
      </c>
      <c r="I2" s="143">
        <f>I1+L6</f>
        <v>44760</v>
      </c>
      <c r="J2" s="149">
        <f>J1+O2</f>
        <v>44944</v>
      </c>
      <c r="K2" s="143">
        <f>K1+O2</f>
        <v>100</v>
      </c>
      <c r="N2" s="77" t="s">
        <v>12</v>
      </c>
      <c r="O2" s="31">
        <v>100</v>
      </c>
    </row>
    <row r="3" spans="3:16" x14ac:dyDescent="0.35">
      <c r="C3" s="3" t="s">
        <v>41</v>
      </c>
      <c r="D3" s="140" t="s">
        <v>56</v>
      </c>
      <c r="E3" s="141"/>
      <c r="F3" s="71"/>
      <c r="N3" s="77" t="s">
        <v>13</v>
      </c>
      <c r="O3" s="38">
        <f>I17</f>
        <v>7.5753626666666651</v>
      </c>
    </row>
    <row r="4" spans="3:16" x14ac:dyDescent="0.35">
      <c r="N4" s="77" t="s">
        <v>15</v>
      </c>
      <c r="O4" s="31">
        <v>1.5</v>
      </c>
    </row>
    <row r="5" spans="3:16" x14ac:dyDescent="0.35">
      <c r="C5" s="139" t="s">
        <v>44</v>
      </c>
      <c r="D5" s="139"/>
      <c r="E5" s="139"/>
      <c r="F5" s="71"/>
      <c r="H5" s="140" t="s">
        <v>7</v>
      </c>
      <c r="I5" s="141"/>
      <c r="N5" s="77" t="s">
        <v>16</v>
      </c>
      <c r="O5" s="30">
        <f>O4*O2</f>
        <v>150</v>
      </c>
    </row>
    <row r="6" spans="3:16" x14ac:dyDescent="0.35">
      <c r="C6" s="34" t="s">
        <v>0</v>
      </c>
      <c r="D6" s="17" t="s">
        <v>1</v>
      </c>
      <c r="E6" s="18" t="s">
        <v>5</v>
      </c>
      <c r="F6" s="71"/>
      <c r="H6" s="12">
        <v>0.15</v>
      </c>
      <c r="I6" s="3" t="s">
        <v>8</v>
      </c>
      <c r="N6" s="77" t="s">
        <v>17</v>
      </c>
      <c r="O6" s="30">
        <f>O1+O5</f>
        <v>470</v>
      </c>
      <c r="P6" s="32"/>
    </row>
    <row r="7" spans="3:16" x14ac:dyDescent="0.35">
      <c r="C7" s="8" t="s">
        <v>3</v>
      </c>
      <c r="D7" s="11">
        <v>0.7</v>
      </c>
      <c r="E7" s="22">
        <f>D15*D7</f>
        <v>0.4433333333333333</v>
      </c>
      <c r="F7" s="72"/>
      <c r="N7" s="77" t="s">
        <v>18</v>
      </c>
      <c r="O7" s="41">
        <v>0.56000000000000005</v>
      </c>
      <c r="P7" s="32"/>
    </row>
    <row r="8" spans="3:16" x14ac:dyDescent="0.35">
      <c r="C8" s="8" t="s">
        <v>60</v>
      </c>
      <c r="D8" s="11">
        <v>3.2000000000000001E-2</v>
      </c>
      <c r="E8" s="22">
        <f>D16*D8</f>
        <v>0.15744</v>
      </c>
      <c r="F8" s="72"/>
      <c r="H8" s="142" t="s">
        <v>9</v>
      </c>
      <c r="I8" s="143"/>
      <c r="N8" s="77" t="s">
        <v>20</v>
      </c>
      <c r="O8" s="42">
        <v>220</v>
      </c>
      <c r="P8" s="32"/>
    </row>
    <row r="9" spans="3:16" x14ac:dyDescent="0.35">
      <c r="C9" s="8" t="s">
        <v>4</v>
      </c>
      <c r="D9" s="11">
        <v>0.16800000000000001</v>
      </c>
      <c r="E9" s="22">
        <f>D17*D9</f>
        <v>0.12096</v>
      </c>
      <c r="F9" s="72"/>
      <c r="G9" s="24"/>
      <c r="H9" s="25">
        <f>E12+H6</f>
        <v>0.87173333333333325</v>
      </c>
      <c r="I9" s="35" t="s">
        <v>11</v>
      </c>
      <c r="J9" s="5"/>
      <c r="K9" s="5"/>
      <c r="L9" s="5"/>
      <c r="M9" s="5"/>
      <c r="N9" s="77" t="s">
        <v>21</v>
      </c>
      <c r="O9" s="38">
        <f>O6*O7*O8/15</f>
        <v>3860.2666666666673</v>
      </c>
      <c r="P9" s="32"/>
    </row>
    <row r="10" spans="3:16" x14ac:dyDescent="0.35">
      <c r="C10" s="8" t="s">
        <v>61</v>
      </c>
      <c r="D10" s="11">
        <v>0.05</v>
      </c>
      <c r="E10" s="22">
        <f>D18*D10</f>
        <v>0</v>
      </c>
      <c r="F10" s="72"/>
      <c r="H10" s="25">
        <f>H9*1000</f>
        <v>871.73333333333323</v>
      </c>
      <c r="I10" s="35" t="s">
        <v>52</v>
      </c>
      <c r="N10" s="77" t="s">
        <v>22</v>
      </c>
      <c r="O10" s="38">
        <f>O3*O2</f>
        <v>757.53626666666651</v>
      </c>
      <c r="P10" s="32"/>
    </row>
    <row r="11" spans="3:16" x14ac:dyDescent="0.35">
      <c r="C11" s="8" t="s">
        <v>58</v>
      </c>
      <c r="D11" s="11">
        <v>0.05</v>
      </c>
      <c r="E11" s="22">
        <f>D19*D11</f>
        <v>0</v>
      </c>
      <c r="F11" s="72"/>
      <c r="N11" s="77" t="s">
        <v>35</v>
      </c>
      <c r="O11" s="38">
        <f>O10+D24+C28</f>
        <v>4057.5362666666665</v>
      </c>
      <c r="P11" s="32"/>
    </row>
    <row r="12" spans="3:16" x14ac:dyDescent="0.35">
      <c r="C12" s="9" t="s">
        <v>2</v>
      </c>
      <c r="D12" s="10">
        <f>SUM(D7:D11)</f>
        <v>1</v>
      </c>
      <c r="E12" s="23">
        <f>SUM(E7:E11)</f>
        <v>0.72173333333333323</v>
      </c>
      <c r="F12" s="73"/>
      <c r="H12" s="6" t="s">
        <v>27</v>
      </c>
      <c r="I12" s="2">
        <f>D22</f>
        <v>320</v>
      </c>
      <c r="J12" s="14" t="s">
        <v>11</v>
      </c>
      <c r="N12" s="77" t="s">
        <v>23</v>
      </c>
      <c r="O12" s="38">
        <f>O9-O11</f>
        <v>-197.26959999999917</v>
      </c>
      <c r="P12" s="32"/>
    </row>
    <row r="13" spans="3:16" x14ac:dyDescent="0.35">
      <c r="D13" s="4"/>
      <c r="H13" s="6" t="s">
        <v>28</v>
      </c>
      <c r="I13" s="15">
        <f>O6</f>
        <v>470</v>
      </c>
      <c r="J13" s="14" t="s">
        <v>11</v>
      </c>
      <c r="N13" s="77" t="s">
        <v>24</v>
      </c>
      <c r="O13" s="39">
        <f>O12/O11</f>
        <v>-4.8618074376956692E-2</v>
      </c>
      <c r="P13" s="32"/>
    </row>
    <row r="14" spans="3:16" x14ac:dyDescent="0.35">
      <c r="C14" s="144" t="s">
        <v>6</v>
      </c>
      <c r="D14" s="144"/>
      <c r="E14" s="29"/>
      <c r="F14" s="29"/>
      <c r="H14" s="6" t="s">
        <v>29</v>
      </c>
      <c r="I14" s="2">
        <f>(I13+I12)/2</f>
        <v>395</v>
      </c>
      <c r="J14" s="14" t="s">
        <v>11</v>
      </c>
      <c r="N14" s="77" t="s">
        <v>25</v>
      </c>
      <c r="O14" s="30">
        <f>O6*O7/15</f>
        <v>17.54666666666667</v>
      </c>
      <c r="P14" s="32"/>
    </row>
    <row r="15" spans="3:16" x14ac:dyDescent="0.35">
      <c r="C15" s="2" t="s">
        <v>3</v>
      </c>
      <c r="D15" s="69">
        <f>38/60</f>
        <v>0.6333333333333333</v>
      </c>
      <c r="E15" s="24"/>
      <c r="F15" s="24"/>
      <c r="H15" s="6" t="s">
        <v>31</v>
      </c>
      <c r="I15" s="33">
        <v>2.1999999999999999E-2</v>
      </c>
      <c r="J15" s="14" t="s">
        <v>19</v>
      </c>
      <c r="N15" s="77" t="s">
        <v>26</v>
      </c>
      <c r="O15" s="39">
        <f>O13/(O2/30.5)</f>
        <v>-1.4828512684971791E-2</v>
      </c>
      <c r="P15" s="32"/>
    </row>
    <row r="16" spans="3:16" x14ac:dyDescent="0.35">
      <c r="C16" s="2" t="s">
        <v>60</v>
      </c>
      <c r="D16" s="69">
        <v>4.92</v>
      </c>
      <c r="E16" s="24"/>
      <c r="F16" s="24"/>
      <c r="H16" s="6" t="s">
        <v>32</v>
      </c>
      <c r="I16" s="2">
        <f>I15*I14</f>
        <v>8.69</v>
      </c>
      <c r="J16" s="14" t="s">
        <v>11</v>
      </c>
      <c r="N16" s="77" t="s">
        <v>37</v>
      </c>
      <c r="O16" s="30">
        <f>O14-(O1/30)</f>
        <v>6.8800000000000043</v>
      </c>
      <c r="P16" s="32"/>
    </row>
    <row r="17" spans="3:24" x14ac:dyDescent="0.35">
      <c r="C17" s="8" t="s">
        <v>4</v>
      </c>
      <c r="D17" s="69">
        <v>0.72</v>
      </c>
      <c r="E17" s="24"/>
      <c r="F17" s="24"/>
      <c r="H17" s="6" t="s">
        <v>30</v>
      </c>
      <c r="I17" s="25">
        <f>I16*H9</f>
        <v>7.5753626666666651</v>
      </c>
      <c r="J17" s="14" t="s">
        <v>14</v>
      </c>
      <c r="N17" s="77" t="s">
        <v>51</v>
      </c>
      <c r="O17" s="40">
        <f>O10/O16</f>
        <v>110.10701550387587</v>
      </c>
      <c r="P17" s="32"/>
    </row>
    <row r="18" spans="3:24" x14ac:dyDescent="0.35">
      <c r="C18" s="8" t="s">
        <v>61</v>
      </c>
      <c r="D18" s="69">
        <v>0</v>
      </c>
      <c r="E18" s="24"/>
      <c r="F18" s="24"/>
      <c r="N18" s="77" t="s">
        <v>63</v>
      </c>
      <c r="O18" s="40">
        <f>O11/O14</f>
        <v>231.24256838905768</v>
      </c>
      <c r="P18" s="32"/>
    </row>
    <row r="19" spans="3:24" x14ac:dyDescent="0.35">
      <c r="C19" s="8" t="s">
        <v>58</v>
      </c>
      <c r="D19" s="69">
        <v>0</v>
      </c>
      <c r="G19" s="140" t="s">
        <v>45</v>
      </c>
      <c r="H19" s="146"/>
      <c r="I19" s="146"/>
      <c r="J19" s="146"/>
      <c r="K19" s="146"/>
      <c r="L19" s="141"/>
      <c r="M19" s="71"/>
      <c r="N19" s="77" t="s">
        <v>64</v>
      </c>
      <c r="O19" s="57">
        <v>7.0000000000000007E-2</v>
      </c>
      <c r="P19" s="32"/>
    </row>
    <row r="20" spans="3:24" x14ac:dyDescent="0.35">
      <c r="G20" s="2" t="s">
        <v>3</v>
      </c>
      <c r="H20" s="19">
        <f>I16*D7*O2*D30/1000</f>
        <v>31.023299999999999</v>
      </c>
      <c r="I20" s="2" t="s">
        <v>50</v>
      </c>
      <c r="J20" s="2">
        <f>H20/60*1000</f>
        <v>517.05499999999995</v>
      </c>
      <c r="K20" s="64" t="s">
        <v>49</v>
      </c>
      <c r="L20" s="75">
        <f>H20*D15*1000</f>
        <v>19648.09</v>
      </c>
      <c r="M20" s="79"/>
      <c r="N20" s="77" t="s">
        <v>65</v>
      </c>
      <c r="O20" s="58">
        <f>(O18*O19)+O18</f>
        <v>247.42954817629172</v>
      </c>
      <c r="P20" s="32"/>
    </row>
    <row r="21" spans="3:24" x14ac:dyDescent="0.35">
      <c r="C21" s="145" t="s">
        <v>33</v>
      </c>
      <c r="D21" s="145"/>
      <c r="E21" s="24"/>
      <c r="F21" s="24"/>
      <c r="G21" s="2" t="s">
        <v>46</v>
      </c>
      <c r="H21" s="19">
        <f>D8*I16*O2*D30/1000</f>
        <v>1.4182080000000001</v>
      </c>
      <c r="I21" s="2" t="s">
        <v>50</v>
      </c>
      <c r="J21" s="2"/>
      <c r="K21" s="2"/>
      <c r="L21" s="75">
        <f>H21*D16*1000</f>
        <v>6977.5833600000005</v>
      </c>
      <c r="M21" s="79"/>
      <c r="N21" s="77" t="s">
        <v>92</v>
      </c>
      <c r="O21" s="58">
        <f>O8/(D15*60)</f>
        <v>5.7894736842105265</v>
      </c>
      <c r="P21" s="32"/>
    </row>
    <row r="22" spans="3:24" x14ac:dyDescent="0.35">
      <c r="C22" s="2" t="s">
        <v>27</v>
      </c>
      <c r="D22" s="13">
        <v>320</v>
      </c>
      <c r="E22" s="24"/>
      <c r="F22" s="24"/>
      <c r="G22" s="2" t="s">
        <v>47</v>
      </c>
      <c r="H22" s="19">
        <f>D9*D30*I16*O2/1000</f>
        <v>7.4455920000000004</v>
      </c>
      <c r="I22" s="2" t="s">
        <v>50</v>
      </c>
      <c r="J22" s="2"/>
      <c r="K22" s="2"/>
      <c r="L22" s="75">
        <f>H22*D17*1000</f>
        <v>5360.8262399999994</v>
      </c>
      <c r="M22" s="79"/>
      <c r="N22" s="78" t="s">
        <v>42</v>
      </c>
      <c r="O22" s="36">
        <v>5</v>
      </c>
      <c r="P22" s="32"/>
    </row>
    <row r="23" spans="3:24" x14ac:dyDescent="0.35">
      <c r="C23" s="2" t="s">
        <v>34</v>
      </c>
      <c r="D23" s="28">
        <v>300</v>
      </c>
      <c r="E23" s="24"/>
      <c r="F23" s="24"/>
      <c r="G23" s="2" t="s">
        <v>58</v>
      </c>
      <c r="H23" s="19">
        <f>D30*I16*D11*O2/1000</f>
        <v>2.2159500000000003</v>
      </c>
      <c r="I23" s="2" t="s">
        <v>50</v>
      </c>
      <c r="J23" s="2"/>
      <c r="K23" s="2"/>
      <c r="L23" s="75">
        <f>H23*D19*1000</f>
        <v>0</v>
      </c>
      <c r="M23" s="79"/>
      <c r="N23" s="78" t="s">
        <v>43</v>
      </c>
      <c r="O23" s="37">
        <f>365/O2</f>
        <v>3.65</v>
      </c>
      <c r="P23" s="32"/>
    </row>
    <row r="24" spans="3:24" x14ac:dyDescent="0.35">
      <c r="C24" s="2" t="s">
        <v>2</v>
      </c>
      <c r="D24" s="25">
        <f>D22/30*D23</f>
        <v>3200</v>
      </c>
      <c r="H24" s="43"/>
      <c r="I24" s="43"/>
      <c r="K24" s="64" t="s">
        <v>0</v>
      </c>
      <c r="L24" s="76">
        <f>SUM(L20:L23)</f>
        <v>31986.499599999999</v>
      </c>
      <c r="M24" s="74"/>
      <c r="N24" s="78" t="s">
        <v>54</v>
      </c>
      <c r="O24" s="46">
        <f>((O14-(D22/2/15))*15)/O2</f>
        <v>1.0320000000000007</v>
      </c>
      <c r="P24" s="26"/>
    </row>
    <row r="25" spans="3:24" x14ac:dyDescent="0.35">
      <c r="K25" s="64" t="s">
        <v>93</v>
      </c>
      <c r="L25" s="76">
        <f>D22*D23*D30/30</f>
        <v>163200</v>
      </c>
      <c r="M25" s="74"/>
      <c r="N25" s="78" t="s">
        <v>53</v>
      </c>
      <c r="O25" s="47">
        <f>O23*O22*O12</f>
        <v>-3600.170199999985</v>
      </c>
      <c r="P25" s="26"/>
    </row>
    <row r="26" spans="3:24" x14ac:dyDescent="0.35">
      <c r="K26" s="64" t="s">
        <v>94</v>
      </c>
      <c r="L26" s="76">
        <f>C28*D30</f>
        <v>5100</v>
      </c>
      <c r="M26" s="74"/>
      <c r="P26" s="26"/>
    </row>
    <row r="27" spans="3:24" x14ac:dyDescent="0.35">
      <c r="C27" s="145" t="s">
        <v>36</v>
      </c>
      <c r="D27" s="145"/>
      <c r="K27" s="64" t="s">
        <v>2</v>
      </c>
      <c r="L27" s="76">
        <f>SUM(L24:L26)</f>
        <v>200286.49960000001</v>
      </c>
      <c r="M27" s="74"/>
    </row>
    <row r="28" spans="3:24" x14ac:dyDescent="0.35">
      <c r="C28" s="137">
        <v>100</v>
      </c>
      <c r="D28" s="138"/>
    </row>
    <row r="30" spans="3:24" x14ac:dyDescent="0.35">
      <c r="C30" s="3" t="s">
        <v>48</v>
      </c>
      <c r="D30" s="13">
        <v>51</v>
      </c>
    </row>
    <row r="31" spans="3:24" x14ac:dyDescent="0.35">
      <c r="O31" s="48"/>
      <c r="R31" s="49"/>
      <c r="S31" s="49"/>
      <c r="T31" s="49"/>
      <c r="U31" s="49"/>
      <c r="V31" s="49"/>
      <c r="W31" s="49"/>
      <c r="X31" s="49"/>
    </row>
    <row r="32" spans="3:24" x14ac:dyDescent="0.35">
      <c r="R32" s="50"/>
      <c r="S32" s="49"/>
      <c r="T32" s="49"/>
      <c r="U32" s="52"/>
      <c r="V32" s="49"/>
      <c r="W32" s="49"/>
      <c r="X32" s="49"/>
    </row>
    <row r="33" spans="4:24" x14ac:dyDescent="0.35">
      <c r="P33" s="45"/>
      <c r="R33" s="50"/>
      <c r="S33" s="49"/>
      <c r="T33" s="49"/>
      <c r="U33" s="52"/>
      <c r="V33" s="54"/>
      <c r="W33" s="49"/>
      <c r="X33" s="49"/>
    </row>
    <row r="34" spans="4:24" x14ac:dyDescent="0.35">
      <c r="N34" s="48"/>
      <c r="P34" s="45"/>
      <c r="R34" s="50"/>
      <c r="S34" s="49"/>
      <c r="T34" s="49"/>
      <c r="U34" s="52"/>
      <c r="V34" s="49"/>
      <c r="W34" s="54"/>
      <c r="X34" s="54"/>
    </row>
    <row r="35" spans="4:24" x14ac:dyDescent="0.35">
      <c r="R35" s="51"/>
      <c r="S35" s="49"/>
      <c r="T35" s="49"/>
      <c r="U35" s="52"/>
      <c r="V35" s="49"/>
      <c r="W35" s="49"/>
      <c r="X35" s="54"/>
    </row>
    <row r="36" spans="4:24" x14ac:dyDescent="0.35">
      <c r="N36" s="44"/>
      <c r="P36" s="45"/>
      <c r="R36" s="49"/>
      <c r="S36" s="49"/>
      <c r="T36" s="49"/>
      <c r="U36" s="53"/>
      <c r="V36" s="49"/>
      <c r="W36" s="49"/>
      <c r="X36" s="49"/>
    </row>
    <row r="37" spans="4:24" x14ac:dyDescent="0.35">
      <c r="N37" s="48"/>
      <c r="T37" s="48"/>
    </row>
    <row r="40" spans="4:24" x14ac:dyDescent="0.35">
      <c r="D40" s="43"/>
    </row>
  </sheetData>
  <mergeCells count="15">
    <mergeCell ref="J1:K1"/>
    <mergeCell ref="J2:K2"/>
    <mergeCell ref="H2:I2"/>
    <mergeCell ref="H1:I1"/>
    <mergeCell ref="D3:E3"/>
    <mergeCell ref="D1:E1"/>
    <mergeCell ref="D2:E2"/>
    <mergeCell ref="C28:D28"/>
    <mergeCell ref="C5:E5"/>
    <mergeCell ref="H5:I5"/>
    <mergeCell ref="H8:I8"/>
    <mergeCell ref="C14:D14"/>
    <mergeCell ref="C21:D21"/>
    <mergeCell ref="C27:D27"/>
    <mergeCell ref="G19:L1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RACAO 2</vt:lpstr>
      <vt:lpstr>BOITEL</vt:lpstr>
      <vt:lpstr>0,1% CHUVA</vt:lpstr>
      <vt:lpstr>0,1% SECA</vt:lpstr>
      <vt:lpstr>SEQUESTRO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2026-04-14T22:31:58Z</dcterms:modified>
</cp:coreProperties>
</file>